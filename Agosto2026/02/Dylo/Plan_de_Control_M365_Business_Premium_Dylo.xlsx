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Listas" sheetId="2" state="hidden" r:id="rId4"/>
    <sheet name="Plan de Control" sheetId="3" state="visible" r:id="rId5"/>
    <sheet name="Gantt" sheetId="4" state="visible" r:id="rId6"/>
    <sheet name="Resu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Edita esta fecha y todas las fechas de inicio/fin del plan se recalculan automáticamente. El cálculo usa días hábiles (lunes a viernes) y no considera días festivos.</t>
        </r>
      </text>
    </comment>
  </commentList>
</comments>
</file>

<file path=xl/sharedStrings.xml><?xml version="1.0" encoding="utf-8"?>
<sst xmlns="http://schemas.openxmlformats.org/spreadsheetml/2006/main" count="375" uniqueCount="190">
  <si>
    <t xml:space="preserve">CÓMO USAR ESTE PLAN DE CONTROL</t>
  </si>
  <si>
    <t xml:space="preserve">1. Fecha de inicio</t>
  </si>
  <si>
    <t xml:space="preserve">En la pestaña 'Plan de Control', celda C4, define la fecha real de inicio del proyecto. Todas las fechas de inicio y fin de cada actividad, fase y del proyecto se recalculan automáticamente a partir de ahí (se usan días hábiles de lunes a viernes; no se descuentan días festivos).</t>
  </si>
  <si>
    <t xml:space="preserve">2. Asignar responsables</t>
  </si>
  <si>
    <t xml:space="preserve">En la columna 'Responsable' de cada actividad (celdas amarillas), selecciona a la persona del equipo desde la lista desplegable. Puedes editar los nombres del equipo en la hoja oculta 'Listas' (clic derecho en las pestañas &gt; Mostrar).</t>
  </si>
  <si>
    <t xml:space="preserve">3. Actualizar estado y avance</t>
  </si>
  <si>
    <t xml:space="preserve">Cada semana, actualiza el 'Estado' (No iniciado / En progreso / Completado / Retrasado / Bloqueado) y el '% Avance' de cada actividad. El avance de cada fase y del proyecto se calcula automáticamente como promedio ponderado por duración.</t>
  </si>
  <si>
    <t xml:space="preserve">4. Días restantes y alertas</t>
  </si>
  <si>
    <t xml:space="preserve">La columna 'Días restantes' se calcula sola. Si una actividad no está completada y su fecha fin ya pasó, toda la fila se resalta en rojo para alertarte de un retraso.</t>
  </si>
  <si>
    <t xml:space="preserve">5. Vista Gantt</t>
  </si>
  <si>
    <t xml:space="preserve">La pestaña 'Gantt' muestra el calendario visual del proyecto. Las barras verdes son el rango de fechas de cada actividad, las columnas grises son fines de semana y la columna naranja marca el día de hoy. Se actualiza sola si cambias la fecha de inicio.</t>
  </si>
  <si>
    <t xml:space="preserve">6. Resumen ejecutivo</t>
  </si>
  <si>
    <t xml:space="preserve">La pestaña 'Resumen' muestra KPIs generales (fechas, % avance global, conteo de tareas por estado) y una gráfica de avance por fase — ideal para compartir en reportes de estatus.</t>
  </si>
  <si>
    <t xml:space="preserve">Notas</t>
  </si>
  <si>
    <t xml:space="preserve">• No borres ni reordenes filas de la hoja 'Plan de Control': el Gantt y el Resumen dependen de ese orden.
• Puedes agregar observaciones libres en la última columna de cada actividad.
• Si necesitas agregar días festivos al cálculo, dilo y se puede ajustar la fórmula con WORKDAY.INTL.</t>
  </si>
  <si>
    <t xml:space="preserve">Responsables</t>
  </si>
  <si>
    <t xml:space="preserve">Estado</t>
  </si>
  <si>
    <t xml:space="preserve">PM - Líder de Proyecto</t>
  </si>
  <si>
    <t xml:space="preserve">No iniciado</t>
  </si>
  <si>
    <t xml:space="preserve">Consultor 1</t>
  </si>
  <si>
    <t xml:space="preserve">En progreso</t>
  </si>
  <si>
    <t xml:space="preserve">Consultor 2</t>
  </si>
  <si>
    <t xml:space="preserve">Completado</t>
  </si>
  <si>
    <t xml:space="preserve">Consultor 3</t>
  </si>
  <si>
    <t xml:space="preserve">Retrasado</t>
  </si>
  <si>
    <t xml:space="preserve">Consultor 4</t>
  </si>
  <si>
    <t xml:space="preserve">Bloqueado</t>
  </si>
  <si>
    <t xml:space="preserve">Consultor 5</t>
  </si>
  <si>
    <t xml:space="preserve">Cliente - Dylo</t>
  </si>
  <si>
    <t xml:space="preserve">PLAN DE CONTROL DE IMPLEMENTACIÓN — Microsoft 365 Business Premium (Dylo)</t>
  </si>
  <si>
    <t xml:space="preserve">Herramienta de seguimiento de actividades, responsables, fechas y avance del proyecto</t>
  </si>
  <si>
    <t xml:space="preserve">Fecha de inicio del proyecto:</t>
  </si>
  <si>
    <t xml:space="preserve">Última actualización:</t>
  </si>
  <si>
    <t xml:space="preserve">Celdas amarillas = campos a completar por el PM/equipo. Las fechas y días restantes se calculan solas.</t>
  </si>
  <si>
    <t xml:space="preserve">WBS</t>
  </si>
  <si>
    <t xml:space="preserve">Actividad / Fase</t>
  </si>
  <si>
    <t xml:space="preserve">Responsable</t>
  </si>
  <si>
    <t xml:space="preserve">Duración
(días)</t>
  </si>
  <si>
    <t xml:space="preserve">Inicio</t>
  </si>
  <si>
    <t xml:space="preserve">Fin</t>
  </si>
  <si>
    <t xml:space="preserve">% Avance</t>
  </si>
  <si>
    <t xml:space="preserve">Días
restantes</t>
  </si>
  <si>
    <t xml:space="preserve">Observaciones</t>
  </si>
  <si>
    <t xml:space="preserve">Implementación Microsoft 365 Business Premium - Dylo</t>
  </si>
  <si>
    <t xml:space="preserve">1</t>
  </si>
  <si>
    <t xml:space="preserve">Fase 1. Identidad y Acceso (Microsoft Entra ID P1)</t>
  </si>
  <si>
    <t xml:space="preserve">1.1</t>
  </si>
  <si>
    <t xml:space="preserve">Revisión y validación de usuarios, grupos y roles administrativos existentes.</t>
  </si>
  <si>
    <t xml:space="preserve">1.2</t>
  </si>
  <si>
    <t xml:space="preserve">Habilitación y configuración de autenticación multifactor (MFA) para usuarios incluidos en el alcance.</t>
  </si>
  <si>
    <t xml:space="preserve">1.3</t>
  </si>
  <si>
    <t xml:space="preserve">Diseño e implementación de políticas de Acceso Condicional basadas en usuario, ubicación, aplicación y estado del dispositivo.</t>
  </si>
  <si>
    <t xml:space="preserve">1.4</t>
  </si>
  <si>
    <t xml:space="preserve">Configuración de Self-Service Password Reset (SSPR).</t>
  </si>
  <si>
    <t xml:space="preserve">1.5</t>
  </si>
  <si>
    <t xml:space="preserve">Configuración de Password Protection para fortalecer la política de contraseñas.</t>
  </si>
  <si>
    <t xml:space="preserve">1.6</t>
  </si>
  <si>
    <t xml:space="preserve">Configuración de grupos administrativos y modelo de acceso basado en roles (RBAC).</t>
  </si>
  <si>
    <t xml:space="preserve">1.7</t>
  </si>
  <si>
    <t xml:space="preserve">Configuración de Single Sign-On (SSO) para aplicaciones compatibles definidas por Dylo.</t>
  </si>
  <si>
    <t xml:space="preserve">1.8</t>
  </si>
  <si>
    <t xml:space="preserve">Ejecución de pruebas funcionales y validación de acceso seguro.</t>
  </si>
  <si>
    <t xml:space="preserve">2</t>
  </si>
  <si>
    <t xml:space="preserve">Fase 2. Gestión de Dispositivos (Microsoft Intune – MDM)</t>
  </si>
  <si>
    <t xml:space="preserve">2.1</t>
  </si>
  <si>
    <t xml:space="preserve">Definición de estrategia de administración de dispositivos corporativos.</t>
  </si>
  <si>
    <t xml:space="preserve">2.2</t>
  </si>
  <si>
    <t xml:space="preserve">Configuración de Microsoft Intune como plataforma de Mobile Device Management (MDM).</t>
  </si>
  <si>
    <t xml:space="preserve">2.3</t>
  </si>
  <si>
    <t xml:space="preserve">Configuración de enrolamiento para dispositivos Windows, macOS, iOS y Android.</t>
  </si>
  <si>
    <t xml:space="preserve">2.4</t>
  </si>
  <si>
    <t xml:space="preserve">Configuración de inscripción automática mediante Microsoft Entra ID.</t>
  </si>
  <si>
    <t xml:space="preserve">2.5</t>
  </si>
  <si>
    <t xml:space="preserve">Configuración de Windows Autopilot para aprovisionamiento automatizado de equipos Windows.</t>
  </si>
  <si>
    <t xml:space="preserve">2.6</t>
  </si>
  <si>
    <t xml:space="preserve">Creación de perfiles de configuración para dispositivos administrados.</t>
  </si>
  <si>
    <t xml:space="preserve">2.7</t>
  </si>
  <si>
    <t xml:space="preserve">Configuración de políticas de cumplimiento (Compliance Policies).</t>
  </si>
  <si>
    <t xml:space="preserve">2.8</t>
  </si>
  <si>
    <t xml:space="preserve">Habilitación de capacidades de bloqueo remoto, borrado remoto y retiro de información corporativa.</t>
  </si>
  <si>
    <t xml:space="preserve">2.9</t>
  </si>
  <si>
    <t xml:space="preserve">Pruebas piloto y validación de dispositivos administrados.</t>
  </si>
  <si>
    <t xml:space="preserve">3</t>
  </si>
  <si>
    <t xml:space="preserve">Fase 3. Protección de Aplicaciones (Microsoft Intune – MAM)</t>
  </si>
  <si>
    <t xml:space="preserve">3.1</t>
  </si>
  <si>
    <t xml:space="preserve">Definición de estrategia BYOD para acceso seguro desde dispositivos personales.</t>
  </si>
  <si>
    <t xml:space="preserve">3.2</t>
  </si>
  <si>
    <t xml:space="preserve">Identificación de aplicaciones Microsoft 365 incluidas en el alcance.</t>
  </si>
  <si>
    <t xml:space="preserve">3.3</t>
  </si>
  <si>
    <t xml:space="preserve">Configuración de políticas de Mobile Application Management (MAM).</t>
  </si>
  <si>
    <t xml:space="preserve">3.4</t>
  </si>
  <si>
    <t xml:space="preserve">Implementación de controles de acceso a aplicaciones corporativas sin enrolamiento del dispositivo.</t>
  </si>
  <si>
    <t xml:space="preserve">3.5</t>
  </si>
  <si>
    <t xml:space="preserve">Configuración de restricciones de copia, corte y pegado entre aplicaciones corporativas y personales.</t>
  </si>
  <si>
    <t xml:space="preserve">3.6</t>
  </si>
  <si>
    <t xml:space="preserve">Implementación de controles de protección de datos corporativos.</t>
  </si>
  <si>
    <t xml:space="preserve">3.7</t>
  </si>
  <si>
    <t xml:space="preserve">Configuración de borrado selectivo de información empresarial.</t>
  </si>
  <si>
    <t xml:space="preserve">3.8</t>
  </si>
  <si>
    <t xml:space="preserve">Ejecución de pruebas de acceso y protección de aplicaciones.</t>
  </si>
  <si>
    <t xml:space="preserve">4</t>
  </si>
  <si>
    <t xml:space="preserve">Fase 4. Seguridad de Endpoints (Microsoft Defender for Business)</t>
  </si>
  <si>
    <t xml:space="preserve">4.1</t>
  </si>
  <si>
    <t xml:space="preserve">Configuración inicial de Microsoft Defender for Business.</t>
  </si>
  <si>
    <t xml:space="preserve">4.2</t>
  </si>
  <si>
    <t xml:space="preserve">Definición de la estrategia de incorporación (Onboarding) de dispositivos.</t>
  </si>
  <si>
    <t xml:space="preserve">4.3</t>
  </si>
  <si>
    <t xml:space="preserve">Incorporación de dispositivos a Microsoft Defender for Business.</t>
  </si>
  <si>
    <t xml:space="preserve">4.4</t>
  </si>
  <si>
    <t xml:space="preserve">Configuración de Microsoft Defender Antivirus.</t>
  </si>
  <si>
    <t xml:space="preserve">4.5</t>
  </si>
  <si>
    <t xml:space="preserve">Habilitación de protección basada en la nube y protección en tiempo real.</t>
  </si>
  <si>
    <t xml:space="preserve">4.6</t>
  </si>
  <si>
    <t xml:space="preserve">Configuración de capacidades EDR (Endpoint Detection and Response).</t>
  </si>
  <si>
    <t xml:space="preserve">4.7</t>
  </si>
  <si>
    <t xml:space="preserve">Configuración de reglas de reducción de superficie de ataque (ASR).</t>
  </si>
  <si>
    <t xml:space="preserve">4.8</t>
  </si>
  <si>
    <t xml:space="preserve">Configuración de administración de vulnerabilidades (Threat &amp; Vulnerability Management).</t>
  </si>
  <si>
    <t xml:space="preserve">4.9</t>
  </si>
  <si>
    <t xml:space="preserve">Validación de alertas, incidentes y capacidades de respuesta automatizada.</t>
  </si>
  <si>
    <t xml:space="preserve">5</t>
  </si>
  <si>
    <t xml:space="preserve">Fase 5. Seguridad de Correo y Colaboración (Microsoft Defender for Office 365 Plan 1)</t>
  </si>
  <si>
    <t xml:space="preserve">5.1</t>
  </si>
  <si>
    <t xml:space="preserve">Revisión de configuración actual de Exchange Online y servicios de colaboración.</t>
  </si>
  <si>
    <t xml:space="preserve">5.2</t>
  </si>
  <si>
    <t xml:space="preserve">Configuración de políticas Anti-Spam entrante y saliente.</t>
  </si>
  <si>
    <t xml:space="preserve">5.3</t>
  </si>
  <si>
    <t xml:space="preserve">Configuración de políticas Anti-Malware.</t>
  </si>
  <si>
    <t xml:space="preserve">5.4</t>
  </si>
  <si>
    <t xml:space="preserve">Implementación de políticas Anti-Phishing para protección contra suplantación de identidad.</t>
  </si>
  <si>
    <t xml:space="preserve">5.5</t>
  </si>
  <si>
    <t xml:space="preserve">Habilitación de Safe Links para protección contra URLs maliciosas.</t>
  </si>
  <si>
    <t xml:space="preserve">5.6</t>
  </si>
  <si>
    <t xml:space="preserve">Habilitación de Safe Attachments para análisis dinámico de archivos sospechosos.</t>
  </si>
  <si>
    <t xml:space="preserve">5.7</t>
  </si>
  <si>
    <t xml:space="preserve">Habilitación de protección para Exchange Online, Teams, SharePoint Online y OneDrive.</t>
  </si>
  <si>
    <t xml:space="preserve">5.8</t>
  </si>
  <si>
    <t xml:space="preserve">Ejecución de pruebas controladas de detección y protección.</t>
  </si>
  <si>
    <t xml:space="preserve">6</t>
  </si>
  <si>
    <t xml:space="preserve">Fase 6. Protección de Información (Microsoft Purview Information Protection)</t>
  </si>
  <si>
    <t xml:space="preserve">6.1</t>
  </si>
  <si>
    <t xml:space="preserve">Taller de definición de clasificación de información y niveles de confidencialidad.</t>
  </si>
  <si>
    <t xml:space="preserve">6.2</t>
  </si>
  <si>
    <t xml:space="preserve">Diseño de estructura de etiquetas de sensibilidad.</t>
  </si>
  <si>
    <t xml:space="preserve">6.3</t>
  </si>
  <si>
    <t xml:space="preserve">Creación y publicación de etiquetas de confidencialidad.</t>
  </si>
  <si>
    <t xml:space="preserve">6.4</t>
  </si>
  <si>
    <t xml:space="preserve">Configuración de etiquetado manual para usuarios.</t>
  </si>
  <si>
    <t xml:space="preserve">6.5</t>
  </si>
  <si>
    <t xml:space="preserve">Configuración de protección mediante cifrado para documentos y correos electrónicos.</t>
  </si>
  <si>
    <t xml:space="preserve">6.6</t>
  </si>
  <si>
    <t xml:space="preserve">Configuración de restricciones de acceso basadas en etiquetas.</t>
  </si>
  <si>
    <t xml:space="preserve">6.7</t>
  </si>
  <si>
    <t xml:space="preserve">Configuración de protección persistente sobre archivos protegidos.</t>
  </si>
  <si>
    <t xml:space="preserve">6.8</t>
  </si>
  <si>
    <t xml:space="preserve">Validación de experiencia de usuario y aplicación de etiquetas.</t>
  </si>
  <si>
    <t xml:space="preserve">6.9</t>
  </si>
  <si>
    <t xml:space="preserve">Capacitación básica sobre uso de etiquetas de confidencialidad.</t>
  </si>
  <si>
    <t xml:space="preserve">7</t>
  </si>
  <si>
    <t xml:space="preserve">Fase 7. Cumplimiento y Gobierno Básico</t>
  </si>
  <si>
    <t xml:space="preserve">7.1</t>
  </si>
  <si>
    <t xml:space="preserve">Validación de registro de actividades de usuarios.</t>
  </si>
  <si>
    <t xml:space="preserve">7.2</t>
  </si>
  <si>
    <t xml:space="preserve">Configuración de búsquedas de contenido mediante eDiscovery Standard.</t>
  </si>
  <si>
    <t xml:space="preserve">7.3</t>
  </si>
  <si>
    <t xml:space="preserve">Validación de eventos de auditoría y trazabilidad.</t>
  </si>
  <si>
    <t xml:space="preserve">7.4</t>
  </si>
  <si>
    <t xml:space="preserve">Transferencia de conocimiento para consulta y uso de registros de auditoría.</t>
  </si>
  <si>
    <t xml:space="preserve">GANTT — Vista de calendario</t>
  </si>
  <si>
    <t xml:space="preserve">Actividad</t>
  </si>
  <si>
    <t xml:space="preserve">RESUMEN EJECUTIVO DEL PROYECTO</t>
  </si>
  <si>
    <t xml:space="preserve">Inicio del proyecto</t>
  </si>
  <si>
    <t xml:space="preserve">Fin estimado</t>
  </si>
  <si>
    <t xml:space="preserve">Duración total (días hábiles)</t>
  </si>
  <si>
    <t xml:space="preserve">% Avance global</t>
  </si>
  <si>
    <t xml:space="preserve">Total de tareas</t>
  </si>
  <si>
    <t xml:space="preserve">Completadas</t>
  </si>
  <si>
    <t xml:space="preserve">No iniciadas</t>
  </si>
  <si>
    <t xml:space="preserve">Retrasadas</t>
  </si>
  <si>
    <t xml:space="preserve">Avance por fase</t>
  </si>
  <si>
    <t xml:space="preserve">Fase</t>
  </si>
  <si>
    <t xml:space="preserve">Nombre completo</t>
  </si>
  <si>
    <t xml:space="preserve">Duración (días)</t>
  </si>
  <si>
    <t xml:space="preserve">Fase 1</t>
  </si>
  <si>
    <t xml:space="preserve">Fase 2</t>
  </si>
  <si>
    <t xml:space="preserve">Fase 3</t>
  </si>
  <si>
    <t xml:space="preserve">Fase 4</t>
  </si>
  <si>
    <t xml:space="preserve">Fase 5</t>
  </si>
  <si>
    <t xml:space="preserve">Fase 6</t>
  </si>
  <si>
    <t xml:space="preserve">Fase 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</si>
</sst>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&quot; días&quot;"/>
    <numFmt numFmtId="167" formatCode="0%"/>
    <numFmt numFmtId="168" formatCode="General"/>
    <numFmt numFmtId="169" formatCode="d/mmm"/>
    <numFmt numFmtId="170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E0E0E0"/>
      </patternFill>
    </fill>
    <fill>
      <patternFill patternType="solid">
        <fgColor rgb="FFFFFFFF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375623"/>
        <bgColor rgb="FF595959"/>
      </patternFill>
    </fill>
    <fill>
      <patternFill patternType="solid">
        <fgColor rgb="FF9C6500"/>
        <bgColor rgb="FF993300"/>
      </patternFill>
    </fill>
    <fill>
      <patternFill patternType="solid">
        <fgColor rgb="FF595959"/>
        <bgColor rgb="FF375623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E0E0E0"/>
      </left>
      <right style="hair">
        <color rgb="FFE0E0E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2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ont>
        <b val="1"/>
        <color rgb="FFC00000"/>
      </font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E0E0E0"/>
      <rgbColor rgb="FF99CCFF"/>
      <rgbColor rgb="FFFF99CC"/>
      <rgbColor rgb="FFCC99FF"/>
      <rgbColor rgb="FFFFC7CE"/>
      <rgbColor rgb="FF4F81BD"/>
      <rgbColor rgb="FF33CCCC"/>
      <rgbColor rgb="FF99CC00"/>
      <rgbColor rgb="FFFFC0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 por fase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Resumen!D11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Resumen!$A$12:$A$18</c:f>
              <c:strCache>
                <c:ptCount val="7"/>
                <c:pt idx="0">
                  <c:v>Fase 1</c:v>
                </c:pt>
                <c:pt idx="1">
                  <c:v>Fase 2</c:v>
                </c:pt>
                <c:pt idx="2">
                  <c:v>Fase 3</c:v>
                </c:pt>
                <c:pt idx="3">
                  <c:v>Fase 4</c:v>
                </c:pt>
                <c:pt idx="4">
                  <c:v>Fase 5</c:v>
                </c:pt>
                <c:pt idx="5">
                  <c:v>Fase 6</c:v>
                </c:pt>
                <c:pt idx="6">
                  <c:v>Fase 7</c:v>
                </c:pt>
              </c:strCache>
            </c:strRef>
          </c:cat>
          <c:val>
            <c:numRef>
              <c:f>Resumen!$D$12:$D$18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17102166"/>
        <c:axId val="10529679"/>
      </c:barChart>
      <c:catAx>
        <c:axId val="17102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29679"/>
        <c:crosses val="autoZero"/>
        <c:auto val="1"/>
        <c:lblAlgn val="ctr"/>
        <c:lblOffset val="100"/>
        <c:noMultiLvlLbl val="0"/>
      </c:catAx>
      <c:valAx>
        <c:axId val="10529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02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11</xdr:row>
      <xdr:rowOff>0</xdr:rowOff>
    </xdr:from>
    <xdr:to>
      <xdr:col>12</xdr:col>
      <xdr:colOff>461880</xdr:colOff>
      <xdr:row>26</xdr:row>
      <xdr:rowOff>102240</xdr:rowOff>
    </xdr:to>
    <xdr:graphicFrame>
      <xdr:nvGraphicFramePr>
        <xdr:cNvPr id="0" name="Chart 1"/>
        <xdr:cNvGraphicFramePr/>
      </xdr:nvGraphicFramePr>
      <xdr:xfrm>
        <a:off x="7189560" y="2724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69.75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69.75" hidden="false" customHeight="true" outlineLevel="0" collapsed="false">
      <c r="A7" s="3" t="s">
        <v>4</v>
      </c>
    </row>
    <row r="9" customFormat="false" ht="15" hidden="false" customHeight="false" outlineLevel="0" collapsed="false">
      <c r="A9" s="2" t="s">
        <v>5</v>
      </c>
    </row>
    <row r="10" customFormat="false" ht="69.75" hidden="false" customHeight="true" outlineLevel="0" collapsed="false">
      <c r="A10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45" hidden="false" customHeight="true" outlineLevel="0" collapsed="false">
      <c r="A13" s="3" t="s">
        <v>8</v>
      </c>
    </row>
    <row r="15" customFormat="false" ht="15" hidden="false" customHeight="false" outlineLevel="0" collapsed="false">
      <c r="A15" s="2" t="s">
        <v>9</v>
      </c>
    </row>
    <row r="16" customFormat="false" ht="69.75" hidden="false" customHeight="true" outlineLevel="0" collapsed="false">
      <c r="A16" s="3" t="s">
        <v>10</v>
      </c>
    </row>
    <row r="18" customFormat="false" ht="15" hidden="false" customHeight="false" outlineLevel="0" collapsed="false">
      <c r="A18" s="2" t="s">
        <v>11</v>
      </c>
    </row>
    <row r="19" customFormat="false" ht="45" hidden="false" customHeight="true" outlineLevel="0" collapsed="false">
      <c r="A19" s="3" t="s">
        <v>12</v>
      </c>
    </row>
    <row r="21" customFormat="false" ht="15" hidden="false" customHeight="false" outlineLevel="0" collapsed="false">
      <c r="A21" s="2" t="s">
        <v>13</v>
      </c>
    </row>
    <row r="22" customFormat="false" ht="69.75" hidden="false" customHeight="true" outlineLevel="0" collapsed="false">
      <c r="A2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</row>
    <row r="6" customFormat="false" ht="15" hidden="false" customHeight="false" outlineLevel="0" collapsed="false">
      <c r="A6" s="0" t="s">
        <v>25</v>
      </c>
      <c r="B6" s="0" t="s">
        <v>26</v>
      </c>
    </row>
    <row r="7" customFormat="false" ht="15" hidden="false" customHeight="false" outlineLevel="0" collapsed="false">
      <c r="A7" s="0" t="s">
        <v>27</v>
      </c>
    </row>
    <row r="8" customFormat="false" ht="15" hidden="false" customHeight="false" outlineLevel="0" collapsed="false">
      <c r="A8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true" outlineLevel="0" max="11" min="11" style="0" width="3"/>
    <col collapsed="false" customWidth="true" hidden="true" outlineLevel="0" max="13" min="12" style="0" width="10"/>
  </cols>
  <sheetData>
    <row r="1" customFormat="false" ht="25.5" hidden="false" customHeight="true" outlineLevel="0" collapsed="false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30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A4" s="6" t="s">
        <v>31</v>
      </c>
      <c r="B4" s="6"/>
      <c r="C4" s="7" t="n">
        <v>46237</v>
      </c>
      <c r="E4" s="8" t="s">
        <v>32</v>
      </c>
      <c r="F4" s="9" t="n">
        <f aca="true">TODAY()</f>
        <v>46238</v>
      </c>
    </row>
    <row r="5" customFormat="false" ht="15" hidden="false" customHeight="false" outlineLevel="0" collapsed="false">
      <c r="A5" s="10" t="s">
        <v>33</v>
      </c>
      <c r="B5" s="10"/>
      <c r="C5" s="10"/>
      <c r="D5" s="10"/>
      <c r="E5" s="10"/>
      <c r="F5" s="10"/>
      <c r="G5" s="10"/>
      <c r="H5" s="10"/>
      <c r="I5" s="10"/>
      <c r="J5" s="10"/>
    </row>
    <row r="7" customFormat="false" ht="30" hidden="false" customHeight="tru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  <c r="F7" s="11" t="s">
        <v>39</v>
      </c>
      <c r="G7" s="11" t="s">
        <v>16</v>
      </c>
      <c r="H7" s="11" t="s">
        <v>40</v>
      </c>
      <c r="I7" s="11" t="s">
        <v>41</v>
      </c>
      <c r="J7" s="11" t="s">
        <v>42</v>
      </c>
    </row>
    <row r="8" customFormat="false" ht="21.75" hidden="false" customHeight="true" outlineLevel="0" collapsed="false">
      <c r="A8" s="12"/>
      <c r="B8" s="13" t="s">
        <v>43</v>
      </c>
      <c r="C8" s="13"/>
      <c r="D8" s="14" t="n">
        <f aca="false">D9+D18+D28+D37+D47+D56+D66</f>
        <v>43</v>
      </c>
      <c r="E8" s="15" t="n">
        <f aca="false">E10</f>
        <v>46237</v>
      </c>
      <c r="F8" s="15" t="n">
        <f aca="false">F70</f>
        <v>46295</v>
      </c>
      <c r="G8" s="12" t="str">
        <f aca="false">IF(H8=1,"Completado",IF(H8=0,"No iniciado","En progreso"))</f>
        <v>No iniciado</v>
      </c>
      <c r="H8" s="16" t="n">
        <f aca="false">IFERROR((D9*H9+D18*H18+D28*H28+D37*H37+D47*H47+D56*H56+D66*H66)/(D9+D18+D28+D37+D47+D56+D66),0)</f>
        <v>0</v>
      </c>
      <c r="I8" s="12" t="n">
        <f aca="true">IF(G8="Completado","-",F8-TODAY())</f>
        <v>57</v>
      </c>
      <c r="J8" s="13"/>
      <c r="L8" s="0" t="n">
        <v>0</v>
      </c>
      <c r="M8" s="17" t="n">
        <f aca="false">L8</f>
        <v>0</v>
      </c>
    </row>
    <row r="9" customFormat="false" ht="19.5" hidden="false" customHeight="true" outlineLevel="0" collapsed="false">
      <c r="A9" s="18" t="s">
        <v>44</v>
      </c>
      <c r="B9" s="19" t="s">
        <v>45</v>
      </c>
      <c r="C9" s="19"/>
      <c r="D9" s="20" t="n">
        <f aca="false">SUM(D10:D17)</f>
        <v>6</v>
      </c>
      <c r="E9" s="21" t="n">
        <f aca="false">E10</f>
        <v>46237</v>
      </c>
      <c r="F9" s="21" t="n">
        <f aca="false">F17</f>
        <v>46244</v>
      </c>
      <c r="G9" s="18" t="str">
        <f aca="false">IF(H9=1,"Completado",IF(H9=0,"No iniciado","En progreso"))</f>
        <v>No iniciado</v>
      </c>
      <c r="H9" s="22" t="n">
        <f aca="false">IFERROR(SUMPRODUCT(D10:D17,H10:H17)/SUM(D10:D17),0)</f>
        <v>0</v>
      </c>
      <c r="I9" s="18" t="n">
        <f aca="true">IF(G9="Completado","-",F9-TODAY())</f>
        <v>6</v>
      </c>
      <c r="J9" s="19"/>
      <c r="L9" s="17" t="n">
        <f aca="false">M8</f>
        <v>0</v>
      </c>
      <c r="M9" s="17" t="n">
        <f aca="false">L9</f>
        <v>0</v>
      </c>
    </row>
    <row r="10" customFormat="false" ht="30" hidden="false" customHeight="true" outlineLevel="0" collapsed="false">
      <c r="A10" s="23" t="s">
        <v>46</v>
      </c>
      <c r="B10" s="24" t="s">
        <v>47</v>
      </c>
      <c r="C10" s="25"/>
      <c r="D10" s="26" t="n">
        <v>0.5</v>
      </c>
      <c r="E10" s="27" t="n">
        <f aca="false">WORKDAY($C$4-1,INT(L10)+1)</f>
        <v>46237</v>
      </c>
      <c r="F10" s="27" t="n">
        <f aca="false">WORKDAY($C$4-1,ROUNDUP(M10,0))</f>
        <v>46237</v>
      </c>
      <c r="G10" s="28" t="s">
        <v>18</v>
      </c>
      <c r="H10" s="29" t="n">
        <v>0</v>
      </c>
      <c r="I10" s="23" t="n">
        <f aca="true">IF(G10="Completado","-",F10-TODAY())</f>
        <v>-1</v>
      </c>
      <c r="J10" s="25"/>
      <c r="L10" s="17" t="n">
        <f aca="false">M9</f>
        <v>0</v>
      </c>
      <c r="M10" s="17" t="n">
        <f aca="false">L10+D10</f>
        <v>0.5</v>
      </c>
    </row>
    <row r="11" customFormat="false" ht="30" hidden="false" customHeight="true" outlineLevel="0" collapsed="false">
      <c r="A11" s="23" t="s">
        <v>48</v>
      </c>
      <c r="B11" s="24" t="s">
        <v>49</v>
      </c>
      <c r="C11" s="25"/>
      <c r="D11" s="26" t="n">
        <v>1</v>
      </c>
      <c r="E11" s="27" t="n">
        <f aca="false">WORKDAY($C$4-1,INT(L11)+1)</f>
        <v>46237</v>
      </c>
      <c r="F11" s="27" t="n">
        <f aca="false">WORKDAY($C$4-1,ROUNDUP(M11,0))</f>
        <v>46238</v>
      </c>
      <c r="G11" s="28" t="s">
        <v>18</v>
      </c>
      <c r="H11" s="29" t="n">
        <v>0</v>
      </c>
      <c r="I11" s="23" t="n">
        <f aca="true">IF(G11="Completado","-",F11-TODAY())</f>
        <v>0</v>
      </c>
      <c r="J11" s="25"/>
      <c r="L11" s="17" t="n">
        <f aca="false">M10</f>
        <v>0.5</v>
      </c>
      <c r="M11" s="17" t="n">
        <f aca="false">L11+D11</f>
        <v>1.5</v>
      </c>
    </row>
    <row r="12" customFormat="false" ht="30" hidden="false" customHeight="true" outlineLevel="0" collapsed="false">
      <c r="A12" s="23" t="s">
        <v>50</v>
      </c>
      <c r="B12" s="24" t="s">
        <v>51</v>
      </c>
      <c r="C12" s="25"/>
      <c r="D12" s="26" t="n">
        <v>1</v>
      </c>
      <c r="E12" s="27" t="n">
        <f aca="false">WORKDAY($C$4-1,INT(L12)+1)</f>
        <v>46238</v>
      </c>
      <c r="F12" s="27" t="n">
        <f aca="false">WORKDAY($C$4-1,ROUNDUP(M12,0))</f>
        <v>46239</v>
      </c>
      <c r="G12" s="28" t="s">
        <v>18</v>
      </c>
      <c r="H12" s="29" t="n">
        <v>0</v>
      </c>
      <c r="I12" s="23" t="n">
        <f aca="true">IF(G12="Completado","-",F12-TODAY())</f>
        <v>1</v>
      </c>
      <c r="J12" s="25"/>
      <c r="L12" s="17" t="n">
        <f aca="false">M11</f>
        <v>1.5</v>
      </c>
      <c r="M12" s="17" t="n">
        <f aca="false">L12+D12</f>
        <v>2.5</v>
      </c>
    </row>
    <row r="13" customFormat="false" ht="30" hidden="false" customHeight="true" outlineLevel="0" collapsed="false">
      <c r="A13" s="23" t="s">
        <v>52</v>
      </c>
      <c r="B13" s="24" t="s">
        <v>53</v>
      </c>
      <c r="C13" s="25"/>
      <c r="D13" s="26" t="n">
        <v>0.5</v>
      </c>
      <c r="E13" s="27" t="n">
        <f aca="false">WORKDAY($C$4-1,INT(L13)+1)</f>
        <v>46239</v>
      </c>
      <c r="F13" s="27" t="n">
        <f aca="false">WORKDAY($C$4-1,ROUNDUP(M13,0))</f>
        <v>46239</v>
      </c>
      <c r="G13" s="28" t="s">
        <v>18</v>
      </c>
      <c r="H13" s="29" t="n">
        <v>0</v>
      </c>
      <c r="I13" s="23" t="n">
        <f aca="true">IF(G13="Completado","-",F13-TODAY())</f>
        <v>1</v>
      </c>
      <c r="J13" s="25"/>
      <c r="L13" s="17" t="n">
        <f aca="false">M12</f>
        <v>2.5</v>
      </c>
      <c r="M13" s="17" t="n">
        <f aca="false">L13+D13</f>
        <v>3</v>
      </c>
    </row>
    <row r="14" customFormat="false" ht="30" hidden="false" customHeight="true" outlineLevel="0" collapsed="false">
      <c r="A14" s="23" t="s">
        <v>54</v>
      </c>
      <c r="B14" s="24" t="s">
        <v>55</v>
      </c>
      <c r="C14" s="25"/>
      <c r="D14" s="26" t="n">
        <v>0.5</v>
      </c>
      <c r="E14" s="27" t="n">
        <f aca="false">WORKDAY($C$4-1,INT(L14)+1)</f>
        <v>46240</v>
      </c>
      <c r="F14" s="27" t="n">
        <f aca="false">WORKDAY($C$4-1,ROUNDUP(M14,0))</f>
        <v>46240</v>
      </c>
      <c r="G14" s="28" t="s">
        <v>18</v>
      </c>
      <c r="H14" s="29" t="n">
        <v>0</v>
      </c>
      <c r="I14" s="23" t="n">
        <f aca="true">IF(G14="Completado","-",F14-TODAY())</f>
        <v>2</v>
      </c>
      <c r="J14" s="25"/>
      <c r="L14" s="17" t="n">
        <f aca="false">M13</f>
        <v>3</v>
      </c>
      <c r="M14" s="17" t="n">
        <f aca="false">L14+D14</f>
        <v>3.5</v>
      </c>
    </row>
    <row r="15" customFormat="false" ht="30" hidden="false" customHeight="true" outlineLevel="0" collapsed="false">
      <c r="A15" s="23" t="s">
        <v>56</v>
      </c>
      <c r="B15" s="24" t="s">
        <v>57</v>
      </c>
      <c r="C15" s="25"/>
      <c r="D15" s="26" t="n">
        <v>0.5</v>
      </c>
      <c r="E15" s="27" t="n">
        <f aca="false">WORKDAY($C$4-1,INT(L15)+1)</f>
        <v>46240</v>
      </c>
      <c r="F15" s="27" t="n">
        <f aca="false">WORKDAY($C$4-1,ROUNDUP(M15,0))</f>
        <v>46240</v>
      </c>
      <c r="G15" s="28" t="s">
        <v>18</v>
      </c>
      <c r="H15" s="29" t="n">
        <v>0</v>
      </c>
      <c r="I15" s="23" t="n">
        <f aca="true">IF(G15="Completado","-",F15-TODAY())</f>
        <v>2</v>
      </c>
      <c r="J15" s="25"/>
      <c r="L15" s="17" t="n">
        <f aca="false">M14</f>
        <v>3.5</v>
      </c>
      <c r="M15" s="17" t="n">
        <f aca="false">L15+D15</f>
        <v>4</v>
      </c>
    </row>
    <row r="16" customFormat="false" ht="30" hidden="false" customHeight="true" outlineLevel="0" collapsed="false">
      <c r="A16" s="23" t="s">
        <v>58</v>
      </c>
      <c r="B16" s="24" t="s">
        <v>59</v>
      </c>
      <c r="C16" s="25"/>
      <c r="D16" s="26" t="n">
        <v>1</v>
      </c>
      <c r="E16" s="27" t="n">
        <f aca="false">WORKDAY($C$4-1,INT(L16)+1)</f>
        <v>46241</v>
      </c>
      <c r="F16" s="27" t="n">
        <f aca="false">WORKDAY($C$4-1,ROUNDUP(M16,0))</f>
        <v>46241</v>
      </c>
      <c r="G16" s="28" t="s">
        <v>18</v>
      </c>
      <c r="H16" s="29" t="n">
        <v>0</v>
      </c>
      <c r="I16" s="23" t="n">
        <f aca="true">IF(G16="Completado","-",F16-TODAY())</f>
        <v>3</v>
      </c>
      <c r="J16" s="25"/>
      <c r="L16" s="17" t="n">
        <f aca="false">M15</f>
        <v>4</v>
      </c>
      <c r="M16" s="17" t="n">
        <f aca="false">L16+D16</f>
        <v>5</v>
      </c>
    </row>
    <row r="17" customFormat="false" ht="30" hidden="false" customHeight="true" outlineLevel="0" collapsed="false">
      <c r="A17" s="23" t="s">
        <v>60</v>
      </c>
      <c r="B17" s="24" t="s">
        <v>61</v>
      </c>
      <c r="C17" s="25"/>
      <c r="D17" s="26" t="n">
        <v>1</v>
      </c>
      <c r="E17" s="27" t="n">
        <f aca="false">WORKDAY($C$4-1,INT(L17)+1)</f>
        <v>46244</v>
      </c>
      <c r="F17" s="27" t="n">
        <f aca="false">WORKDAY($C$4-1,ROUNDUP(M17,0))</f>
        <v>46244</v>
      </c>
      <c r="G17" s="28" t="s">
        <v>18</v>
      </c>
      <c r="H17" s="29" t="n">
        <v>0</v>
      </c>
      <c r="I17" s="23" t="n">
        <f aca="true">IF(G17="Completado","-",F17-TODAY())</f>
        <v>6</v>
      </c>
      <c r="J17" s="25"/>
      <c r="L17" s="17" t="n">
        <f aca="false">M16</f>
        <v>5</v>
      </c>
      <c r="M17" s="17" t="n">
        <f aca="false">L17+D17</f>
        <v>6</v>
      </c>
    </row>
    <row r="18" customFormat="false" ht="19.5" hidden="false" customHeight="true" outlineLevel="0" collapsed="false">
      <c r="A18" s="18" t="s">
        <v>62</v>
      </c>
      <c r="B18" s="19" t="s">
        <v>63</v>
      </c>
      <c r="C18" s="19"/>
      <c r="D18" s="20" t="n">
        <f aca="false">SUM(D19:D27)</f>
        <v>9</v>
      </c>
      <c r="E18" s="21" t="n">
        <f aca="false">E19</f>
        <v>46245</v>
      </c>
      <c r="F18" s="21" t="n">
        <f aca="false">F27</f>
        <v>46255</v>
      </c>
      <c r="G18" s="18" t="str">
        <f aca="false">IF(H18=1,"Completado",IF(H18=0,"No iniciado","En progreso"))</f>
        <v>No iniciado</v>
      </c>
      <c r="H18" s="22" t="n">
        <f aca="false">IFERROR(SUMPRODUCT(D19:D27,H19:H27)/SUM(D19:D27),0)</f>
        <v>0</v>
      </c>
      <c r="I18" s="18" t="n">
        <f aca="true">IF(G18="Completado","-",F18-TODAY())</f>
        <v>17</v>
      </c>
      <c r="J18" s="19"/>
      <c r="L18" s="17" t="n">
        <f aca="false">M17</f>
        <v>6</v>
      </c>
      <c r="M18" s="17" t="n">
        <f aca="false">L18</f>
        <v>6</v>
      </c>
    </row>
    <row r="19" customFormat="false" ht="30" hidden="false" customHeight="true" outlineLevel="0" collapsed="false">
      <c r="A19" s="23" t="s">
        <v>64</v>
      </c>
      <c r="B19" s="24" t="s">
        <v>65</v>
      </c>
      <c r="C19" s="25"/>
      <c r="D19" s="26" t="n">
        <v>0.5</v>
      </c>
      <c r="E19" s="27" t="n">
        <f aca="false">WORKDAY($C$4-1,INT(L19)+1)</f>
        <v>46245</v>
      </c>
      <c r="F19" s="27" t="n">
        <f aca="false">WORKDAY($C$4-1,ROUNDUP(M19,0))</f>
        <v>46245</v>
      </c>
      <c r="G19" s="28" t="s">
        <v>18</v>
      </c>
      <c r="H19" s="29" t="n">
        <v>0</v>
      </c>
      <c r="I19" s="23" t="n">
        <f aca="true">IF(G19="Completado","-",F19-TODAY())</f>
        <v>7</v>
      </c>
      <c r="J19" s="25"/>
      <c r="L19" s="17" t="n">
        <f aca="false">M18</f>
        <v>6</v>
      </c>
      <c r="M19" s="17" t="n">
        <f aca="false">L19+D19</f>
        <v>6.5</v>
      </c>
    </row>
    <row r="20" customFormat="false" ht="30" hidden="false" customHeight="true" outlineLevel="0" collapsed="false">
      <c r="A20" s="23" t="s">
        <v>66</v>
      </c>
      <c r="B20" s="24" t="s">
        <v>67</v>
      </c>
      <c r="C20" s="25"/>
      <c r="D20" s="26" t="n">
        <v>0.5</v>
      </c>
      <c r="E20" s="27" t="n">
        <f aca="false">WORKDAY($C$4-1,INT(L20)+1)</f>
        <v>46245</v>
      </c>
      <c r="F20" s="27" t="n">
        <f aca="false">WORKDAY($C$4-1,ROUNDUP(M20,0))</f>
        <v>46245</v>
      </c>
      <c r="G20" s="28" t="s">
        <v>18</v>
      </c>
      <c r="H20" s="29" t="n">
        <v>0</v>
      </c>
      <c r="I20" s="23" t="n">
        <f aca="true">IF(G20="Completado","-",F20-TODAY())</f>
        <v>7</v>
      </c>
      <c r="J20" s="25"/>
      <c r="L20" s="17" t="n">
        <f aca="false">M19</f>
        <v>6.5</v>
      </c>
      <c r="M20" s="17" t="n">
        <f aca="false">L20+D20</f>
        <v>7</v>
      </c>
    </row>
    <row r="21" customFormat="false" ht="30" hidden="false" customHeight="true" outlineLevel="0" collapsed="false">
      <c r="A21" s="23" t="s">
        <v>68</v>
      </c>
      <c r="B21" s="24" t="s">
        <v>69</v>
      </c>
      <c r="C21" s="25"/>
      <c r="D21" s="26" t="n">
        <v>1</v>
      </c>
      <c r="E21" s="27" t="n">
        <f aca="false">WORKDAY($C$4-1,INT(L21)+1)</f>
        <v>46246</v>
      </c>
      <c r="F21" s="27" t="n">
        <f aca="false">WORKDAY($C$4-1,ROUNDUP(M21,0))</f>
        <v>46246</v>
      </c>
      <c r="G21" s="28" t="s">
        <v>18</v>
      </c>
      <c r="H21" s="29" t="n">
        <v>0</v>
      </c>
      <c r="I21" s="23" t="n">
        <f aca="true">IF(G21="Completado","-",F21-TODAY())</f>
        <v>8</v>
      </c>
      <c r="J21" s="25"/>
      <c r="L21" s="17" t="n">
        <f aca="false">M20</f>
        <v>7</v>
      </c>
      <c r="M21" s="17" t="n">
        <f aca="false">L21+D21</f>
        <v>8</v>
      </c>
    </row>
    <row r="22" customFormat="false" ht="30" hidden="false" customHeight="true" outlineLevel="0" collapsed="false">
      <c r="A22" s="23" t="s">
        <v>70</v>
      </c>
      <c r="B22" s="24" t="s">
        <v>71</v>
      </c>
      <c r="C22" s="25"/>
      <c r="D22" s="26" t="n">
        <v>0.5</v>
      </c>
      <c r="E22" s="27" t="n">
        <f aca="false">WORKDAY($C$4-1,INT(L22)+1)</f>
        <v>46247</v>
      </c>
      <c r="F22" s="27" t="n">
        <f aca="false">WORKDAY($C$4-1,ROUNDUP(M22,0))</f>
        <v>46247</v>
      </c>
      <c r="G22" s="28" t="s">
        <v>18</v>
      </c>
      <c r="H22" s="29" t="n">
        <v>0</v>
      </c>
      <c r="I22" s="23" t="n">
        <f aca="true">IF(G22="Completado","-",F22-TODAY())</f>
        <v>9</v>
      </c>
      <c r="J22" s="25"/>
      <c r="L22" s="17" t="n">
        <f aca="false">M21</f>
        <v>8</v>
      </c>
      <c r="M22" s="17" t="n">
        <f aca="false">L22+D22</f>
        <v>8.5</v>
      </c>
    </row>
    <row r="23" customFormat="false" ht="30" hidden="false" customHeight="true" outlineLevel="0" collapsed="false">
      <c r="A23" s="23" t="s">
        <v>72</v>
      </c>
      <c r="B23" s="24" t="s">
        <v>73</v>
      </c>
      <c r="C23" s="25"/>
      <c r="D23" s="26" t="n">
        <v>2</v>
      </c>
      <c r="E23" s="27" t="n">
        <f aca="false">WORKDAY($C$4-1,INT(L23)+1)</f>
        <v>46247</v>
      </c>
      <c r="F23" s="27" t="n">
        <f aca="false">WORKDAY($C$4-1,ROUNDUP(M23,0))</f>
        <v>46251</v>
      </c>
      <c r="G23" s="28" t="s">
        <v>18</v>
      </c>
      <c r="H23" s="29" t="n">
        <v>0</v>
      </c>
      <c r="I23" s="23" t="n">
        <f aca="true">IF(G23="Completado","-",F23-TODAY())</f>
        <v>13</v>
      </c>
      <c r="J23" s="25"/>
      <c r="L23" s="17" t="n">
        <f aca="false">M22</f>
        <v>8.5</v>
      </c>
      <c r="M23" s="17" t="n">
        <f aca="false">L23+D23</f>
        <v>10.5</v>
      </c>
    </row>
    <row r="24" customFormat="false" ht="30" hidden="false" customHeight="true" outlineLevel="0" collapsed="false">
      <c r="A24" s="23" t="s">
        <v>74</v>
      </c>
      <c r="B24" s="24" t="s">
        <v>75</v>
      </c>
      <c r="C24" s="25"/>
      <c r="D24" s="26" t="n">
        <v>1</v>
      </c>
      <c r="E24" s="27" t="n">
        <f aca="false">WORKDAY($C$4-1,INT(L24)+1)</f>
        <v>46251</v>
      </c>
      <c r="F24" s="27" t="n">
        <f aca="false">WORKDAY($C$4-1,ROUNDUP(M24,0))</f>
        <v>46252</v>
      </c>
      <c r="G24" s="28" t="s">
        <v>18</v>
      </c>
      <c r="H24" s="29" t="n">
        <v>0</v>
      </c>
      <c r="I24" s="23" t="n">
        <f aca="true">IF(G24="Completado","-",F24-TODAY())</f>
        <v>14</v>
      </c>
      <c r="J24" s="25"/>
      <c r="L24" s="17" t="n">
        <f aca="false">M23</f>
        <v>10.5</v>
      </c>
      <c r="M24" s="17" t="n">
        <f aca="false">L24+D24</f>
        <v>11.5</v>
      </c>
    </row>
    <row r="25" customFormat="false" ht="30" hidden="false" customHeight="true" outlineLevel="0" collapsed="false">
      <c r="A25" s="23" t="s">
        <v>76</v>
      </c>
      <c r="B25" s="24" t="s">
        <v>77</v>
      </c>
      <c r="C25" s="25"/>
      <c r="D25" s="26" t="n">
        <v>1</v>
      </c>
      <c r="E25" s="27" t="n">
        <f aca="false">WORKDAY($C$4-1,INT(L25)+1)</f>
        <v>46252</v>
      </c>
      <c r="F25" s="27" t="n">
        <f aca="false">WORKDAY($C$4-1,ROUNDUP(M25,0))</f>
        <v>46253</v>
      </c>
      <c r="G25" s="28" t="s">
        <v>18</v>
      </c>
      <c r="H25" s="29" t="n">
        <v>0</v>
      </c>
      <c r="I25" s="23" t="n">
        <f aca="true">IF(G25="Completado","-",F25-TODAY())</f>
        <v>15</v>
      </c>
      <c r="J25" s="25"/>
      <c r="L25" s="17" t="n">
        <f aca="false">M24</f>
        <v>11.5</v>
      </c>
      <c r="M25" s="17" t="n">
        <f aca="false">L25+D25</f>
        <v>12.5</v>
      </c>
    </row>
    <row r="26" customFormat="false" ht="30" hidden="false" customHeight="true" outlineLevel="0" collapsed="false">
      <c r="A26" s="23" t="s">
        <v>78</v>
      </c>
      <c r="B26" s="24" t="s">
        <v>79</v>
      </c>
      <c r="C26" s="25"/>
      <c r="D26" s="26" t="n">
        <v>0.5</v>
      </c>
      <c r="E26" s="27" t="n">
        <f aca="false">WORKDAY($C$4-1,INT(L26)+1)</f>
        <v>46253</v>
      </c>
      <c r="F26" s="27" t="n">
        <f aca="false">WORKDAY($C$4-1,ROUNDUP(M26,0))</f>
        <v>46253</v>
      </c>
      <c r="G26" s="28" t="s">
        <v>18</v>
      </c>
      <c r="H26" s="29" t="n">
        <v>0</v>
      </c>
      <c r="I26" s="23" t="n">
        <f aca="true">IF(G26="Completado","-",F26-TODAY())</f>
        <v>15</v>
      </c>
      <c r="J26" s="25"/>
      <c r="L26" s="17" t="n">
        <f aca="false">M25</f>
        <v>12.5</v>
      </c>
      <c r="M26" s="17" t="n">
        <f aca="false">L26+D26</f>
        <v>13</v>
      </c>
    </row>
    <row r="27" customFormat="false" ht="30" hidden="false" customHeight="true" outlineLevel="0" collapsed="false">
      <c r="A27" s="23" t="s">
        <v>80</v>
      </c>
      <c r="B27" s="24" t="s">
        <v>81</v>
      </c>
      <c r="C27" s="25"/>
      <c r="D27" s="26" t="n">
        <v>2</v>
      </c>
      <c r="E27" s="27" t="n">
        <f aca="false">WORKDAY($C$4-1,INT(L27)+1)</f>
        <v>46254</v>
      </c>
      <c r="F27" s="27" t="n">
        <f aca="false">WORKDAY($C$4-1,ROUNDUP(M27,0))</f>
        <v>46255</v>
      </c>
      <c r="G27" s="28" t="s">
        <v>18</v>
      </c>
      <c r="H27" s="29" t="n">
        <v>0</v>
      </c>
      <c r="I27" s="23" t="n">
        <f aca="true">IF(G27="Completado","-",F27-TODAY())</f>
        <v>17</v>
      </c>
      <c r="J27" s="25"/>
      <c r="L27" s="17" t="n">
        <f aca="false">M26</f>
        <v>13</v>
      </c>
      <c r="M27" s="17" t="n">
        <f aca="false">L27+D27</f>
        <v>15</v>
      </c>
    </row>
    <row r="28" customFormat="false" ht="19.5" hidden="false" customHeight="true" outlineLevel="0" collapsed="false">
      <c r="A28" s="18" t="s">
        <v>82</v>
      </c>
      <c r="B28" s="19" t="s">
        <v>83</v>
      </c>
      <c r="C28" s="19"/>
      <c r="D28" s="20" t="n">
        <f aca="false">SUM(D29:D36)</f>
        <v>5</v>
      </c>
      <c r="E28" s="21" t="n">
        <f aca="false">E29</f>
        <v>46258</v>
      </c>
      <c r="F28" s="21" t="n">
        <f aca="false">F36</f>
        <v>46262</v>
      </c>
      <c r="G28" s="18" t="str">
        <f aca="false">IF(H28=1,"Completado",IF(H28=0,"No iniciado","En progreso"))</f>
        <v>No iniciado</v>
      </c>
      <c r="H28" s="22" t="n">
        <f aca="false">IFERROR(SUMPRODUCT(D29:D36,H29:H36)/SUM(D29:D36),0)</f>
        <v>0</v>
      </c>
      <c r="I28" s="18" t="n">
        <f aca="true">IF(G28="Completado","-",F28-TODAY())</f>
        <v>24</v>
      </c>
      <c r="J28" s="19"/>
      <c r="L28" s="17" t="n">
        <f aca="false">M27</f>
        <v>15</v>
      </c>
      <c r="M28" s="17" t="n">
        <f aca="false">L28</f>
        <v>15</v>
      </c>
    </row>
    <row r="29" customFormat="false" ht="30" hidden="false" customHeight="true" outlineLevel="0" collapsed="false">
      <c r="A29" s="23" t="s">
        <v>84</v>
      </c>
      <c r="B29" s="24" t="s">
        <v>85</v>
      </c>
      <c r="C29" s="25"/>
      <c r="D29" s="26" t="n">
        <v>0.5</v>
      </c>
      <c r="E29" s="27" t="n">
        <f aca="false">WORKDAY($C$4-1,INT(L29)+1)</f>
        <v>46258</v>
      </c>
      <c r="F29" s="27" t="n">
        <f aca="false">WORKDAY($C$4-1,ROUNDUP(M29,0))</f>
        <v>46258</v>
      </c>
      <c r="G29" s="28" t="s">
        <v>18</v>
      </c>
      <c r="H29" s="29" t="n">
        <v>0</v>
      </c>
      <c r="I29" s="23" t="n">
        <f aca="true">IF(G29="Completado","-",F29-TODAY())</f>
        <v>20</v>
      </c>
      <c r="J29" s="25"/>
      <c r="L29" s="17" t="n">
        <f aca="false">M28</f>
        <v>15</v>
      </c>
      <c r="M29" s="17" t="n">
        <f aca="false">L29+D29</f>
        <v>15.5</v>
      </c>
    </row>
    <row r="30" customFormat="false" ht="30" hidden="false" customHeight="true" outlineLevel="0" collapsed="false">
      <c r="A30" s="23" t="s">
        <v>86</v>
      </c>
      <c r="B30" s="24" t="s">
        <v>87</v>
      </c>
      <c r="C30" s="25"/>
      <c r="D30" s="26" t="n">
        <v>0.5</v>
      </c>
      <c r="E30" s="27" t="n">
        <f aca="false">WORKDAY($C$4-1,INT(L30)+1)</f>
        <v>46258</v>
      </c>
      <c r="F30" s="27" t="n">
        <f aca="false">WORKDAY($C$4-1,ROUNDUP(M30,0))</f>
        <v>46258</v>
      </c>
      <c r="G30" s="28" t="s">
        <v>18</v>
      </c>
      <c r="H30" s="29" t="n">
        <v>0</v>
      </c>
      <c r="I30" s="23" t="n">
        <f aca="true">IF(G30="Completado","-",F30-TODAY())</f>
        <v>20</v>
      </c>
      <c r="J30" s="25"/>
      <c r="L30" s="17" t="n">
        <f aca="false">M29</f>
        <v>15.5</v>
      </c>
      <c r="M30" s="17" t="n">
        <f aca="false">L30+D30</f>
        <v>16</v>
      </c>
    </row>
    <row r="31" customFormat="false" ht="30" hidden="false" customHeight="true" outlineLevel="0" collapsed="false">
      <c r="A31" s="23" t="s">
        <v>88</v>
      </c>
      <c r="B31" s="24" t="s">
        <v>89</v>
      </c>
      <c r="C31" s="25"/>
      <c r="D31" s="26" t="n">
        <v>1</v>
      </c>
      <c r="E31" s="27" t="n">
        <f aca="false">WORKDAY($C$4-1,INT(L31)+1)</f>
        <v>46259</v>
      </c>
      <c r="F31" s="27" t="n">
        <f aca="false">WORKDAY($C$4-1,ROUNDUP(M31,0))</f>
        <v>46259</v>
      </c>
      <c r="G31" s="28" t="s">
        <v>18</v>
      </c>
      <c r="H31" s="29" t="n">
        <v>0</v>
      </c>
      <c r="I31" s="23" t="n">
        <f aca="true">IF(G31="Completado","-",F31-TODAY())</f>
        <v>21</v>
      </c>
      <c r="J31" s="25"/>
      <c r="L31" s="17" t="n">
        <f aca="false">M30</f>
        <v>16</v>
      </c>
      <c r="M31" s="17" t="n">
        <f aca="false">L31+D31</f>
        <v>17</v>
      </c>
    </row>
    <row r="32" customFormat="false" ht="30" hidden="false" customHeight="true" outlineLevel="0" collapsed="false">
      <c r="A32" s="23" t="s">
        <v>90</v>
      </c>
      <c r="B32" s="24" t="s">
        <v>91</v>
      </c>
      <c r="C32" s="25"/>
      <c r="D32" s="26" t="n">
        <v>0.5</v>
      </c>
      <c r="E32" s="27" t="n">
        <f aca="false">WORKDAY($C$4-1,INT(L32)+1)</f>
        <v>46260</v>
      </c>
      <c r="F32" s="27" t="n">
        <f aca="false">WORKDAY($C$4-1,ROUNDUP(M32,0))</f>
        <v>46260</v>
      </c>
      <c r="G32" s="28" t="s">
        <v>18</v>
      </c>
      <c r="H32" s="29" t="n">
        <v>0</v>
      </c>
      <c r="I32" s="23" t="n">
        <f aca="true">IF(G32="Completado","-",F32-TODAY())</f>
        <v>22</v>
      </c>
      <c r="J32" s="25"/>
      <c r="L32" s="17" t="n">
        <f aca="false">M31</f>
        <v>17</v>
      </c>
      <c r="M32" s="17" t="n">
        <f aca="false">L32+D32</f>
        <v>17.5</v>
      </c>
    </row>
    <row r="33" customFormat="false" ht="30" hidden="false" customHeight="true" outlineLevel="0" collapsed="false">
      <c r="A33" s="23" t="s">
        <v>92</v>
      </c>
      <c r="B33" s="24" t="s">
        <v>93</v>
      </c>
      <c r="C33" s="25"/>
      <c r="D33" s="26" t="n">
        <v>0.5</v>
      </c>
      <c r="E33" s="27" t="n">
        <f aca="false">WORKDAY($C$4-1,INT(L33)+1)</f>
        <v>46260</v>
      </c>
      <c r="F33" s="27" t="n">
        <f aca="false">WORKDAY($C$4-1,ROUNDUP(M33,0))</f>
        <v>46260</v>
      </c>
      <c r="G33" s="28" t="s">
        <v>18</v>
      </c>
      <c r="H33" s="29" t="n">
        <v>0</v>
      </c>
      <c r="I33" s="23" t="n">
        <f aca="true">IF(G33="Completado","-",F33-TODAY())</f>
        <v>22</v>
      </c>
      <c r="J33" s="25"/>
      <c r="L33" s="17" t="n">
        <f aca="false">M32</f>
        <v>17.5</v>
      </c>
      <c r="M33" s="17" t="n">
        <f aca="false">L33+D33</f>
        <v>18</v>
      </c>
    </row>
    <row r="34" customFormat="false" ht="30" hidden="false" customHeight="true" outlineLevel="0" collapsed="false">
      <c r="A34" s="23" t="s">
        <v>94</v>
      </c>
      <c r="B34" s="24" t="s">
        <v>95</v>
      </c>
      <c r="C34" s="25"/>
      <c r="D34" s="26" t="n">
        <v>0.5</v>
      </c>
      <c r="E34" s="27" t="n">
        <f aca="false">WORKDAY($C$4-1,INT(L34)+1)</f>
        <v>46261</v>
      </c>
      <c r="F34" s="27" t="n">
        <f aca="false">WORKDAY($C$4-1,ROUNDUP(M34,0))</f>
        <v>46261</v>
      </c>
      <c r="G34" s="28" t="s">
        <v>18</v>
      </c>
      <c r="H34" s="29" t="n">
        <v>0</v>
      </c>
      <c r="I34" s="23" t="n">
        <f aca="true">IF(G34="Completado","-",F34-TODAY())</f>
        <v>23</v>
      </c>
      <c r="J34" s="25"/>
      <c r="L34" s="17" t="n">
        <f aca="false">M33</f>
        <v>18</v>
      </c>
      <c r="M34" s="17" t="n">
        <f aca="false">L34+D34</f>
        <v>18.5</v>
      </c>
    </row>
    <row r="35" customFormat="false" ht="30" hidden="false" customHeight="true" outlineLevel="0" collapsed="false">
      <c r="A35" s="23" t="s">
        <v>96</v>
      </c>
      <c r="B35" s="24" t="s">
        <v>97</v>
      </c>
      <c r="C35" s="25"/>
      <c r="D35" s="26" t="n">
        <v>0.5</v>
      </c>
      <c r="E35" s="27" t="n">
        <f aca="false">WORKDAY($C$4-1,INT(L35)+1)</f>
        <v>46261</v>
      </c>
      <c r="F35" s="27" t="n">
        <f aca="false">WORKDAY($C$4-1,ROUNDUP(M35,0))</f>
        <v>46261</v>
      </c>
      <c r="G35" s="28" t="s">
        <v>18</v>
      </c>
      <c r="H35" s="29" t="n">
        <v>0</v>
      </c>
      <c r="I35" s="23" t="n">
        <f aca="true">IF(G35="Completado","-",F35-TODAY())</f>
        <v>23</v>
      </c>
      <c r="J35" s="25"/>
      <c r="L35" s="17" t="n">
        <f aca="false">M34</f>
        <v>18.5</v>
      </c>
      <c r="M35" s="17" t="n">
        <f aca="false">L35+D35</f>
        <v>19</v>
      </c>
    </row>
    <row r="36" customFormat="false" ht="30" hidden="false" customHeight="true" outlineLevel="0" collapsed="false">
      <c r="A36" s="23" t="s">
        <v>98</v>
      </c>
      <c r="B36" s="24" t="s">
        <v>99</v>
      </c>
      <c r="C36" s="25"/>
      <c r="D36" s="26" t="n">
        <v>1</v>
      </c>
      <c r="E36" s="27" t="n">
        <f aca="false">WORKDAY($C$4-1,INT(L36)+1)</f>
        <v>46262</v>
      </c>
      <c r="F36" s="27" t="n">
        <f aca="false">WORKDAY($C$4-1,ROUNDUP(M36,0))</f>
        <v>46262</v>
      </c>
      <c r="G36" s="28" t="s">
        <v>18</v>
      </c>
      <c r="H36" s="29" t="n">
        <v>0</v>
      </c>
      <c r="I36" s="23" t="n">
        <f aca="true">IF(G36="Completado","-",F36-TODAY())</f>
        <v>24</v>
      </c>
      <c r="J36" s="25"/>
      <c r="L36" s="17" t="n">
        <f aca="false">M35</f>
        <v>19</v>
      </c>
      <c r="M36" s="17" t="n">
        <f aca="false">L36+D36</f>
        <v>20</v>
      </c>
    </row>
    <row r="37" customFormat="false" ht="19.5" hidden="false" customHeight="true" outlineLevel="0" collapsed="false">
      <c r="A37" s="18" t="s">
        <v>100</v>
      </c>
      <c r="B37" s="19" t="s">
        <v>101</v>
      </c>
      <c r="C37" s="19"/>
      <c r="D37" s="20" t="n">
        <f aca="false">SUM(D38:D46)</f>
        <v>6</v>
      </c>
      <c r="E37" s="21" t="n">
        <f aca="false">E38</f>
        <v>46265</v>
      </c>
      <c r="F37" s="21" t="n">
        <f aca="false">F46</f>
        <v>46272</v>
      </c>
      <c r="G37" s="18" t="str">
        <f aca="false">IF(H37=1,"Completado",IF(H37=0,"No iniciado","En progreso"))</f>
        <v>No iniciado</v>
      </c>
      <c r="H37" s="22" t="n">
        <f aca="false">IFERROR(SUMPRODUCT(D38:D46,H38:H46)/SUM(D38:D46),0)</f>
        <v>0</v>
      </c>
      <c r="I37" s="18" t="n">
        <f aca="true">IF(G37="Completado","-",F37-TODAY())</f>
        <v>34</v>
      </c>
      <c r="J37" s="19"/>
      <c r="L37" s="17" t="n">
        <f aca="false">M36</f>
        <v>20</v>
      </c>
      <c r="M37" s="17" t="n">
        <f aca="false">L37</f>
        <v>20</v>
      </c>
    </row>
    <row r="38" customFormat="false" ht="30" hidden="false" customHeight="true" outlineLevel="0" collapsed="false">
      <c r="A38" s="23" t="s">
        <v>102</v>
      </c>
      <c r="B38" s="24" t="s">
        <v>103</v>
      </c>
      <c r="C38" s="25"/>
      <c r="D38" s="26" t="n">
        <v>0.5</v>
      </c>
      <c r="E38" s="27" t="n">
        <f aca="false">WORKDAY($C$4-1,INT(L38)+1)</f>
        <v>46265</v>
      </c>
      <c r="F38" s="27" t="n">
        <f aca="false">WORKDAY($C$4-1,ROUNDUP(M38,0))</f>
        <v>46265</v>
      </c>
      <c r="G38" s="28" t="s">
        <v>18</v>
      </c>
      <c r="H38" s="29" t="n">
        <v>0</v>
      </c>
      <c r="I38" s="23" t="n">
        <f aca="true">IF(G38="Completado","-",F38-TODAY())</f>
        <v>27</v>
      </c>
      <c r="J38" s="25"/>
      <c r="L38" s="17" t="n">
        <f aca="false">M37</f>
        <v>20</v>
      </c>
      <c r="M38" s="17" t="n">
        <f aca="false">L38+D38</f>
        <v>20.5</v>
      </c>
    </row>
    <row r="39" customFormat="false" ht="30" hidden="false" customHeight="true" outlineLevel="0" collapsed="false">
      <c r="A39" s="23" t="s">
        <v>104</v>
      </c>
      <c r="B39" s="24" t="s">
        <v>105</v>
      </c>
      <c r="C39" s="25"/>
      <c r="D39" s="26" t="n">
        <v>0.5</v>
      </c>
      <c r="E39" s="27" t="n">
        <f aca="false">WORKDAY($C$4-1,INT(L39)+1)</f>
        <v>46265</v>
      </c>
      <c r="F39" s="27" t="n">
        <f aca="false">WORKDAY($C$4-1,ROUNDUP(M39,0))</f>
        <v>46265</v>
      </c>
      <c r="G39" s="28" t="s">
        <v>18</v>
      </c>
      <c r="H39" s="29" t="n">
        <v>0</v>
      </c>
      <c r="I39" s="23" t="n">
        <f aca="true">IF(G39="Completado","-",F39-TODAY())</f>
        <v>27</v>
      </c>
      <c r="J39" s="25"/>
      <c r="L39" s="17" t="n">
        <f aca="false">M38</f>
        <v>20.5</v>
      </c>
      <c r="M39" s="17" t="n">
        <f aca="false">L39+D39</f>
        <v>21</v>
      </c>
    </row>
    <row r="40" customFormat="false" ht="30" hidden="false" customHeight="true" outlineLevel="0" collapsed="false">
      <c r="A40" s="23" t="s">
        <v>106</v>
      </c>
      <c r="B40" s="24" t="s">
        <v>107</v>
      </c>
      <c r="C40" s="25"/>
      <c r="D40" s="26" t="n">
        <v>1</v>
      </c>
      <c r="E40" s="27" t="n">
        <f aca="false">WORKDAY($C$4-1,INT(L40)+1)</f>
        <v>46266</v>
      </c>
      <c r="F40" s="27" t="n">
        <f aca="false">WORKDAY($C$4-1,ROUNDUP(M40,0))</f>
        <v>46266</v>
      </c>
      <c r="G40" s="28" t="s">
        <v>18</v>
      </c>
      <c r="H40" s="29" t="n">
        <v>0</v>
      </c>
      <c r="I40" s="23" t="n">
        <f aca="true">IF(G40="Completado","-",F40-TODAY())</f>
        <v>28</v>
      </c>
      <c r="J40" s="25"/>
      <c r="L40" s="17" t="n">
        <f aca="false">M39</f>
        <v>21</v>
      </c>
      <c r="M40" s="17" t="n">
        <f aca="false">L40+D40</f>
        <v>22</v>
      </c>
    </row>
    <row r="41" customFormat="false" ht="30" hidden="false" customHeight="true" outlineLevel="0" collapsed="false">
      <c r="A41" s="23" t="s">
        <v>108</v>
      </c>
      <c r="B41" s="24" t="s">
        <v>109</v>
      </c>
      <c r="C41" s="25"/>
      <c r="D41" s="26" t="n">
        <v>1</v>
      </c>
      <c r="E41" s="27" t="n">
        <f aca="false">WORKDAY($C$4-1,INT(L41)+1)</f>
        <v>46267</v>
      </c>
      <c r="F41" s="27" t="n">
        <f aca="false">WORKDAY($C$4-1,ROUNDUP(M41,0))</f>
        <v>46267</v>
      </c>
      <c r="G41" s="28" t="s">
        <v>18</v>
      </c>
      <c r="H41" s="29" t="n">
        <v>0</v>
      </c>
      <c r="I41" s="23" t="n">
        <f aca="true">IF(G41="Completado","-",F41-TODAY())</f>
        <v>29</v>
      </c>
      <c r="J41" s="25"/>
      <c r="L41" s="17" t="n">
        <f aca="false">M40</f>
        <v>22</v>
      </c>
      <c r="M41" s="17" t="n">
        <f aca="false">L41+D41</f>
        <v>23</v>
      </c>
    </row>
    <row r="42" customFormat="false" ht="30" hidden="false" customHeight="true" outlineLevel="0" collapsed="false">
      <c r="A42" s="23" t="s">
        <v>110</v>
      </c>
      <c r="B42" s="24" t="s">
        <v>111</v>
      </c>
      <c r="C42" s="25"/>
      <c r="D42" s="26" t="n">
        <v>0.5</v>
      </c>
      <c r="E42" s="27" t="n">
        <f aca="false">WORKDAY($C$4-1,INT(L42)+1)</f>
        <v>46268</v>
      </c>
      <c r="F42" s="27" t="n">
        <f aca="false">WORKDAY($C$4-1,ROUNDUP(M42,0))</f>
        <v>46268</v>
      </c>
      <c r="G42" s="28" t="s">
        <v>18</v>
      </c>
      <c r="H42" s="29" t="n">
        <v>0</v>
      </c>
      <c r="I42" s="23" t="n">
        <f aca="true">IF(G42="Completado","-",F42-TODAY())</f>
        <v>30</v>
      </c>
      <c r="J42" s="25"/>
      <c r="L42" s="17" t="n">
        <f aca="false">M41</f>
        <v>23</v>
      </c>
      <c r="M42" s="17" t="n">
        <f aca="false">L42+D42</f>
        <v>23.5</v>
      </c>
    </row>
    <row r="43" customFormat="false" ht="30" hidden="false" customHeight="true" outlineLevel="0" collapsed="false">
      <c r="A43" s="23" t="s">
        <v>112</v>
      </c>
      <c r="B43" s="24" t="s">
        <v>113</v>
      </c>
      <c r="C43" s="25"/>
      <c r="D43" s="26" t="n">
        <v>0.5</v>
      </c>
      <c r="E43" s="27" t="n">
        <f aca="false">WORKDAY($C$4-1,INT(L43)+1)</f>
        <v>46268</v>
      </c>
      <c r="F43" s="27" t="n">
        <f aca="false">WORKDAY($C$4-1,ROUNDUP(M43,0))</f>
        <v>46268</v>
      </c>
      <c r="G43" s="28" t="s">
        <v>18</v>
      </c>
      <c r="H43" s="29" t="n">
        <v>0</v>
      </c>
      <c r="I43" s="23" t="n">
        <f aca="true">IF(G43="Completado","-",F43-TODAY())</f>
        <v>30</v>
      </c>
      <c r="J43" s="25"/>
      <c r="L43" s="17" t="n">
        <f aca="false">M42</f>
        <v>23.5</v>
      </c>
      <c r="M43" s="17" t="n">
        <f aca="false">L43+D43</f>
        <v>24</v>
      </c>
    </row>
    <row r="44" customFormat="false" ht="30" hidden="false" customHeight="true" outlineLevel="0" collapsed="false">
      <c r="A44" s="23" t="s">
        <v>114</v>
      </c>
      <c r="B44" s="24" t="s">
        <v>115</v>
      </c>
      <c r="C44" s="25"/>
      <c r="D44" s="26" t="n">
        <v>1</v>
      </c>
      <c r="E44" s="27" t="n">
        <f aca="false">WORKDAY($C$4-1,INT(L44)+1)</f>
        <v>46269</v>
      </c>
      <c r="F44" s="27" t="n">
        <f aca="false">WORKDAY($C$4-1,ROUNDUP(M44,0))</f>
        <v>46269</v>
      </c>
      <c r="G44" s="28" t="s">
        <v>18</v>
      </c>
      <c r="H44" s="29" t="n">
        <v>0</v>
      </c>
      <c r="I44" s="23" t="n">
        <f aca="true">IF(G44="Completado","-",F44-TODAY())</f>
        <v>31</v>
      </c>
      <c r="J44" s="25"/>
      <c r="L44" s="17" t="n">
        <f aca="false">M43</f>
        <v>24</v>
      </c>
      <c r="M44" s="17" t="n">
        <f aca="false">L44+D44</f>
        <v>25</v>
      </c>
    </row>
    <row r="45" customFormat="false" ht="30" hidden="false" customHeight="true" outlineLevel="0" collapsed="false">
      <c r="A45" s="23" t="s">
        <v>116</v>
      </c>
      <c r="B45" s="24" t="s">
        <v>117</v>
      </c>
      <c r="C45" s="25"/>
      <c r="D45" s="26" t="n">
        <v>0.5</v>
      </c>
      <c r="E45" s="27" t="n">
        <f aca="false">WORKDAY($C$4-1,INT(L45)+1)</f>
        <v>46272</v>
      </c>
      <c r="F45" s="27" t="n">
        <f aca="false">WORKDAY($C$4-1,ROUNDUP(M45,0))</f>
        <v>46272</v>
      </c>
      <c r="G45" s="28" t="s">
        <v>18</v>
      </c>
      <c r="H45" s="29" t="n">
        <v>0</v>
      </c>
      <c r="I45" s="23" t="n">
        <f aca="true">IF(G45="Completado","-",F45-TODAY())</f>
        <v>34</v>
      </c>
      <c r="J45" s="25"/>
      <c r="L45" s="17" t="n">
        <f aca="false">M44</f>
        <v>25</v>
      </c>
      <c r="M45" s="17" t="n">
        <f aca="false">L45+D45</f>
        <v>25.5</v>
      </c>
    </row>
    <row r="46" customFormat="false" ht="30" hidden="false" customHeight="true" outlineLevel="0" collapsed="false">
      <c r="A46" s="23" t="s">
        <v>118</v>
      </c>
      <c r="B46" s="24" t="s">
        <v>119</v>
      </c>
      <c r="C46" s="25"/>
      <c r="D46" s="26" t="n">
        <v>0.5</v>
      </c>
      <c r="E46" s="27" t="n">
        <f aca="false">WORKDAY($C$4-1,INT(L46)+1)</f>
        <v>46272</v>
      </c>
      <c r="F46" s="27" t="n">
        <f aca="false">WORKDAY($C$4-1,ROUNDUP(M46,0))</f>
        <v>46272</v>
      </c>
      <c r="G46" s="28" t="s">
        <v>18</v>
      </c>
      <c r="H46" s="29" t="n">
        <v>0</v>
      </c>
      <c r="I46" s="23" t="n">
        <f aca="true">IF(G46="Completado","-",F46-TODAY())</f>
        <v>34</v>
      </c>
      <c r="J46" s="25"/>
      <c r="L46" s="17" t="n">
        <f aca="false">M45</f>
        <v>25.5</v>
      </c>
      <c r="M46" s="17" t="n">
        <f aca="false">L46+D46</f>
        <v>26</v>
      </c>
    </row>
    <row r="47" customFormat="false" ht="19.5" hidden="false" customHeight="true" outlineLevel="0" collapsed="false">
      <c r="A47" s="18" t="s">
        <v>120</v>
      </c>
      <c r="B47" s="19" t="s">
        <v>121</v>
      </c>
      <c r="C47" s="19"/>
      <c r="D47" s="20" t="n">
        <f aca="false">SUM(D48:D55)</f>
        <v>5</v>
      </c>
      <c r="E47" s="21" t="n">
        <f aca="false">E48</f>
        <v>46273</v>
      </c>
      <c r="F47" s="21" t="n">
        <f aca="false">F55</f>
        <v>46279</v>
      </c>
      <c r="G47" s="18" t="str">
        <f aca="false">IF(H47=1,"Completado",IF(H47=0,"No iniciado","En progreso"))</f>
        <v>No iniciado</v>
      </c>
      <c r="H47" s="22" t="n">
        <f aca="false">IFERROR(SUMPRODUCT(D48:D55,H48:H55)/SUM(D48:D55),0)</f>
        <v>0</v>
      </c>
      <c r="I47" s="18" t="n">
        <f aca="true">IF(G47="Completado","-",F47-TODAY())</f>
        <v>41</v>
      </c>
      <c r="J47" s="19"/>
      <c r="L47" s="17" t="n">
        <f aca="false">M46</f>
        <v>26</v>
      </c>
      <c r="M47" s="17" t="n">
        <f aca="false">L47</f>
        <v>26</v>
      </c>
    </row>
    <row r="48" customFormat="false" ht="30" hidden="false" customHeight="true" outlineLevel="0" collapsed="false">
      <c r="A48" s="23" t="s">
        <v>122</v>
      </c>
      <c r="B48" s="24" t="s">
        <v>123</v>
      </c>
      <c r="C48" s="25"/>
      <c r="D48" s="26" t="n">
        <v>0.5</v>
      </c>
      <c r="E48" s="27" t="n">
        <f aca="false">WORKDAY($C$4-1,INT(L48)+1)</f>
        <v>46273</v>
      </c>
      <c r="F48" s="27" t="n">
        <f aca="false">WORKDAY($C$4-1,ROUNDUP(M48,0))</f>
        <v>46273</v>
      </c>
      <c r="G48" s="28" t="s">
        <v>18</v>
      </c>
      <c r="H48" s="29" t="n">
        <v>0</v>
      </c>
      <c r="I48" s="23" t="n">
        <f aca="true">IF(G48="Completado","-",F48-TODAY())</f>
        <v>35</v>
      </c>
      <c r="J48" s="25"/>
      <c r="L48" s="17" t="n">
        <f aca="false">M47</f>
        <v>26</v>
      </c>
      <c r="M48" s="17" t="n">
        <f aca="false">L48+D48</f>
        <v>26.5</v>
      </c>
    </row>
    <row r="49" customFormat="false" ht="30" hidden="false" customHeight="true" outlineLevel="0" collapsed="false">
      <c r="A49" s="23" t="s">
        <v>124</v>
      </c>
      <c r="B49" s="24" t="s">
        <v>125</v>
      </c>
      <c r="C49" s="25"/>
      <c r="D49" s="26" t="n">
        <v>0.5</v>
      </c>
      <c r="E49" s="27" t="n">
        <f aca="false">WORKDAY($C$4-1,INT(L49)+1)</f>
        <v>46273</v>
      </c>
      <c r="F49" s="27" t="n">
        <f aca="false">WORKDAY($C$4-1,ROUNDUP(M49,0))</f>
        <v>46273</v>
      </c>
      <c r="G49" s="28" t="s">
        <v>18</v>
      </c>
      <c r="H49" s="29" t="n">
        <v>0</v>
      </c>
      <c r="I49" s="23" t="n">
        <f aca="true">IF(G49="Completado","-",F49-TODAY())</f>
        <v>35</v>
      </c>
      <c r="J49" s="25"/>
      <c r="L49" s="17" t="n">
        <f aca="false">M48</f>
        <v>26.5</v>
      </c>
      <c r="M49" s="17" t="n">
        <f aca="false">L49+D49</f>
        <v>27</v>
      </c>
    </row>
    <row r="50" customFormat="false" ht="30" hidden="false" customHeight="true" outlineLevel="0" collapsed="false">
      <c r="A50" s="23" t="s">
        <v>126</v>
      </c>
      <c r="B50" s="24" t="s">
        <v>127</v>
      </c>
      <c r="C50" s="25"/>
      <c r="D50" s="26" t="n">
        <v>0.5</v>
      </c>
      <c r="E50" s="27" t="n">
        <f aca="false">WORKDAY($C$4-1,INT(L50)+1)</f>
        <v>46274</v>
      </c>
      <c r="F50" s="27" t="n">
        <f aca="false">WORKDAY($C$4-1,ROUNDUP(M50,0))</f>
        <v>46274</v>
      </c>
      <c r="G50" s="28" t="s">
        <v>18</v>
      </c>
      <c r="H50" s="29" t="n">
        <v>0</v>
      </c>
      <c r="I50" s="23" t="n">
        <f aca="true">IF(G50="Completado","-",F50-TODAY())</f>
        <v>36</v>
      </c>
      <c r="J50" s="25"/>
      <c r="L50" s="17" t="n">
        <f aca="false">M49</f>
        <v>27</v>
      </c>
      <c r="M50" s="17" t="n">
        <f aca="false">L50+D50</f>
        <v>27.5</v>
      </c>
    </row>
    <row r="51" customFormat="false" ht="30" hidden="false" customHeight="true" outlineLevel="0" collapsed="false">
      <c r="A51" s="23" t="s">
        <v>128</v>
      </c>
      <c r="B51" s="24" t="s">
        <v>129</v>
      </c>
      <c r="C51" s="25"/>
      <c r="D51" s="26" t="n">
        <v>0.5</v>
      </c>
      <c r="E51" s="27" t="n">
        <f aca="false">WORKDAY($C$4-1,INT(L51)+1)</f>
        <v>46274</v>
      </c>
      <c r="F51" s="27" t="n">
        <f aca="false">WORKDAY($C$4-1,ROUNDUP(M51,0))</f>
        <v>46274</v>
      </c>
      <c r="G51" s="28" t="s">
        <v>18</v>
      </c>
      <c r="H51" s="29" t="n">
        <v>0</v>
      </c>
      <c r="I51" s="23" t="n">
        <f aca="true">IF(G51="Completado","-",F51-TODAY())</f>
        <v>36</v>
      </c>
      <c r="J51" s="25"/>
      <c r="L51" s="17" t="n">
        <f aca="false">M50</f>
        <v>27.5</v>
      </c>
      <c r="M51" s="17" t="n">
        <f aca="false">L51+D51</f>
        <v>28</v>
      </c>
    </row>
    <row r="52" customFormat="false" ht="30" hidden="false" customHeight="true" outlineLevel="0" collapsed="false">
      <c r="A52" s="23" t="s">
        <v>130</v>
      </c>
      <c r="B52" s="24" t="s">
        <v>131</v>
      </c>
      <c r="C52" s="25"/>
      <c r="D52" s="26" t="n">
        <v>0.5</v>
      </c>
      <c r="E52" s="27" t="n">
        <f aca="false">WORKDAY($C$4-1,INT(L52)+1)</f>
        <v>46275</v>
      </c>
      <c r="F52" s="27" t="n">
        <f aca="false">WORKDAY($C$4-1,ROUNDUP(M52,0))</f>
        <v>46275</v>
      </c>
      <c r="G52" s="28" t="s">
        <v>18</v>
      </c>
      <c r="H52" s="29" t="n">
        <v>0</v>
      </c>
      <c r="I52" s="23" t="n">
        <f aca="true">IF(G52="Completado","-",F52-TODAY())</f>
        <v>37</v>
      </c>
      <c r="J52" s="25"/>
      <c r="L52" s="17" t="n">
        <f aca="false">M51</f>
        <v>28</v>
      </c>
      <c r="M52" s="17" t="n">
        <f aca="false">L52+D52</f>
        <v>28.5</v>
      </c>
    </row>
    <row r="53" customFormat="false" ht="30" hidden="false" customHeight="true" outlineLevel="0" collapsed="false">
      <c r="A53" s="23" t="s">
        <v>132</v>
      </c>
      <c r="B53" s="24" t="s">
        <v>133</v>
      </c>
      <c r="C53" s="25"/>
      <c r="D53" s="26" t="n">
        <v>0.5</v>
      </c>
      <c r="E53" s="27" t="n">
        <f aca="false">WORKDAY($C$4-1,INT(L53)+1)</f>
        <v>46275</v>
      </c>
      <c r="F53" s="27" t="n">
        <f aca="false">WORKDAY($C$4-1,ROUNDUP(M53,0))</f>
        <v>46275</v>
      </c>
      <c r="G53" s="28" t="s">
        <v>18</v>
      </c>
      <c r="H53" s="29" t="n">
        <v>0</v>
      </c>
      <c r="I53" s="23" t="n">
        <f aca="true">IF(G53="Completado","-",F53-TODAY())</f>
        <v>37</v>
      </c>
      <c r="J53" s="25"/>
      <c r="L53" s="17" t="n">
        <f aca="false">M52</f>
        <v>28.5</v>
      </c>
      <c r="M53" s="17" t="n">
        <f aca="false">L53+D53</f>
        <v>29</v>
      </c>
    </row>
    <row r="54" customFormat="false" ht="30" hidden="false" customHeight="true" outlineLevel="0" collapsed="false">
      <c r="A54" s="23" t="s">
        <v>134</v>
      </c>
      <c r="B54" s="24" t="s">
        <v>135</v>
      </c>
      <c r="C54" s="25"/>
      <c r="D54" s="26" t="n">
        <v>0.5</v>
      </c>
      <c r="E54" s="27" t="n">
        <f aca="false">WORKDAY($C$4-1,INT(L54)+1)</f>
        <v>46276</v>
      </c>
      <c r="F54" s="27" t="n">
        <f aca="false">WORKDAY($C$4-1,ROUNDUP(M54,0))</f>
        <v>46276</v>
      </c>
      <c r="G54" s="28" t="s">
        <v>18</v>
      </c>
      <c r="H54" s="29" t="n">
        <v>0</v>
      </c>
      <c r="I54" s="23" t="n">
        <f aca="true">IF(G54="Completado","-",F54-TODAY())</f>
        <v>38</v>
      </c>
      <c r="J54" s="25"/>
      <c r="L54" s="17" t="n">
        <f aca="false">M53</f>
        <v>29</v>
      </c>
      <c r="M54" s="17" t="n">
        <f aca="false">L54+D54</f>
        <v>29.5</v>
      </c>
    </row>
    <row r="55" customFormat="false" ht="30" hidden="false" customHeight="true" outlineLevel="0" collapsed="false">
      <c r="A55" s="23" t="s">
        <v>136</v>
      </c>
      <c r="B55" s="24" t="s">
        <v>137</v>
      </c>
      <c r="C55" s="25"/>
      <c r="D55" s="26" t="n">
        <v>1.5</v>
      </c>
      <c r="E55" s="27" t="n">
        <f aca="false">WORKDAY($C$4-1,INT(L55)+1)</f>
        <v>46276</v>
      </c>
      <c r="F55" s="27" t="n">
        <f aca="false">WORKDAY($C$4-1,ROUNDUP(M55,0))</f>
        <v>46279</v>
      </c>
      <c r="G55" s="28" t="s">
        <v>18</v>
      </c>
      <c r="H55" s="29" t="n">
        <v>0</v>
      </c>
      <c r="I55" s="23" t="n">
        <f aca="true">IF(G55="Completado","-",F55-TODAY())</f>
        <v>41</v>
      </c>
      <c r="J55" s="25"/>
      <c r="L55" s="17" t="n">
        <f aca="false">M54</f>
        <v>29.5</v>
      </c>
      <c r="M55" s="17" t="n">
        <f aca="false">L55+D55</f>
        <v>31</v>
      </c>
    </row>
    <row r="56" customFormat="false" ht="19.5" hidden="false" customHeight="true" outlineLevel="0" collapsed="false">
      <c r="A56" s="18" t="s">
        <v>138</v>
      </c>
      <c r="B56" s="19" t="s">
        <v>139</v>
      </c>
      <c r="C56" s="19"/>
      <c r="D56" s="20" t="n">
        <f aca="false">SUM(D57:D65)</f>
        <v>9</v>
      </c>
      <c r="E56" s="21" t="n">
        <f aca="false">E57</f>
        <v>46280</v>
      </c>
      <c r="F56" s="21" t="n">
        <f aca="false">F65</f>
        <v>46290</v>
      </c>
      <c r="G56" s="18" t="str">
        <f aca="false">IF(H56=1,"Completado",IF(H56=0,"No iniciado","En progreso"))</f>
        <v>No iniciado</v>
      </c>
      <c r="H56" s="22" t="n">
        <f aca="false">IFERROR(SUMPRODUCT(D57:D65,H57:H65)/SUM(D57:D65),0)</f>
        <v>0</v>
      </c>
      <c r="I56" s="18" t="n">
        <f aca="true">IF(G56="Completado","-",F56-TODAY())</f>
        <v>52</v>
      </c>
      <c r="J56" s="19"/>
      <c r="L56" s="17" t="n">
        <f aca="false">M55</f>
        <v>31</v>
      </c>
      <c r="M56" s="17" t="n">
        <f aca="false">L56</f>
        <v>31</v>
      </c>
    </row>
    <row r="57" customFormat="false" ht="30" hidden="false" customHeight="true" outlineLevel="0" collapsed="false">
      <c r="A57" s="23" t="s">
        <v>140</v>
      </c>
      <c r="B57" s="24" t="s">
        <v>141</v>
      </c>
      <c r="C57" s="25"/>
      <c r="D57" s="26" t="n">
        <v>1</v>
      </c>
      <c r="E57" s="27" t="n">
        <f aca="false">WORKDAY($C$4-1,INT(L57)+1)</f>
        <v>46280</v>
      </c>
      <c r="F57" s="27" t="n">
        <f aca="false">WORKDAY($C$4-1,ROUNDUP(M57,0))</f>
        <v>46280</v>
      </c>
      <c r="G57" s="28" t="s">
        <v>18</v>
      </c>
      <c r="H57" s="29" t="n">
        <v>0</v>
      </c>
      <c r="I57" s="23" t="n">
        <f aca="true">IF(G57="Completado","-",F57-TODAY())</f>
        <v>42</v>
      </c>
      <c r="J57" s="25"/>
      <c r="L57" s="17" t="n">
        <f aca="false">M56</f>
        <v>31</v>
      </c>
      <c r="M57" s="17" t="n">
        <f aca="false">L57+D57</f>
        <v>32</v>
      </c>
    </row>
    <row r="58" customFormat="false" ht="30" hidden="false" customHeight="true" outlineLevel="0" collapsed="false">
      <c r="A58" s="23" t="s">
        <v>142</v>
      </c>
      <c r="B58" s="24" t="s">
        <v>143</v>
      </c>
      <c r="C58" s="25"/>
      <c r="D58" s="26" t="n">
        <v>0.5</v>
      </c>
      <c r="E58" s="27" t="n">
        <f aca="false">WORKDAY($C$4-1,INT(L58)+1)</f>
        <v>46281</v>
      </c>
      <c r="F58" s="27" t="n">
        <f aca="false">WORKDAY($C$4-1,ROUNDUP(M58,0))</f>
        <v>46281</v>
      </c>
      <c r="G58" s="28" t="s">
        <v>18</v>
      </c>
      <c r="H58" s="29" t="n">
        <v>0</v>
      </c>
      <c r="I58" s="23" t="n">
        <f aca="true">IF(G58="Completado","-",F58-TODAY())</f>
        <v>43</v>
      </c>
      <c r="J58" s="25"/>
      <c r="L58" s="17" t="n">
        <f aca="false">M57</f>
        <v>32</v>
      </c>
      <c r="M58" s="17" t="n">
        <f aca="false">L58+D58</f>
        <v>32.5</v>
      </c>
    </row>
    <row r="59" customFormat="false" ht="30" hidden="false" customHeight="true" outlineLevel="0" collapsed="false">
      <c r="A59" s="23" t="s">
        <v>144</v>
      </c>
      <c r="B59" s="24" t="s">
        <v>145</v>
      </c>
      <c r="C59" s="25"/>
      <c r="D59" s="26" t="n">
        <v>1.5</v>
      </c>
      <c r="E59" s="27" t="n">
        <f aca="false">WORKDAY($C$4-1,INT(L59)+1)</f>
        <v>46281</v>
      </c>
      <c r="F59" s="27" t="n">
        <f aca="false">WORKDAY($C$4-1,ROUNDUP(M59,0))</f>
        <v>46282</v>
      </c>
      <c r="G59" s="28" t="s">
        <v>18</v>
      </c>
      <c r="H59" s="29" t="n">
        <v>0</v>
      </c>
      <c r="I59" s="23" t="n">
        <f aca="true">IF(G59="Completado","-",F59-TODAY())</f>
        <v>44</v>
      </c>
      <c r="J59" s="25"/>
      <c r="L59" s="17" t="n">
        <f aca="false">M58</f>
        <v>32.5</v>
      </c>
      <c r="M59" s="17" t="n">
        <f aca="false">L59+D59</f>
        <v>34</v>
      </c>
    </row>
    <row r="60" customFormat="false" ht="30" hidden="false" customHeight="true" outlineLevel="0" collapsed="false">
      <c r="A60" s="23" t="s">
        <v>146</v>
      </c>
      <c r="B60" s="24" t="s">
        <v>147</v>
      </c>
      <c r="C60" s="25"/>
      <c r="D60" s="26" t="n">
        <v>0.5</v>
      </c>
      <c r="E60" s="27" t="n">
        <f aca="false">WORKDAY($C$4-1,INT(L60)+1)</f>
        <v>46283</v>
      </c>
      <c r="F60" s="27" t="n">
        <f aca="false">WORKDAY($C$4-1,ROUNDUP(M60,0))</f>
        <v>46283</v>
      </c>
      <c r="G60" s="28" t="s">
        <v>18</v>
      </c>
      <c r="H60" s="29" t="n">
        <v>0</v>
      </c>
      <c r="I60" s="23" t="n">
        <f aca="true">IF(G60="Completado","-",F60-TODAY())</f>
        <v>45</v>
      </c>
      <c r="J60" s="25"/>
      <c r="L60" s="17" t="n">
        <f aca="false">M59</f>
        <v>34</v>
      </c>
      <c r="M60" s="17" t="n">
        <f aca="false">L60+D60</f>
        <v>34.5</v>
      </c>
    </row>
    <row r="61" customFormat="false" ht="30" hidden="false" customHeight="true" outlineLevel="0" collapsed="false">
      <c r="A61" s="23" t="s">
        <v>148</v>
      </c>
      <c r="B61" s="24" t="s">
        <v>149</v>
      </c>
      <c r="C61" s="25"/>
      <c r="D61" s="26" t="n">
        <v>0.5</v>
      </c>
      <c r="E61" s="27" t="n">
        <f aca="false">WORKDAY($C$4-1,INT(L61)+1)</f>
        <v>46283</v>
      </c>
      <c r="F61" s="27" t="n">
        <f aca="false">WORKDAY($C$4-1,ROUNDUP(M61,0))</f>
        <v>46283</v>
      </c>
      <c r="G61" s="28" t="s">
        <v>18</v>
      </c>
      <c r="H61" s="29" t="n">
        <v>0</v>
      </c>
      <c r="I61" s="23" t="n">
        <f aca="true">IF(G61="Completado","-",F61-TODAY())</f>
        <v>45</v>
      </c>
      <c r="J61" s="25"/>
      <c r="L61" s="17" t="n">
        <f aca="false">M60</f>
        <v>34.5</v>
      </c>
      <c r="M61" s="17" t="n">
        <f aca="false">L61+D61</f>
        <v>35</v>
      </c>
    </row>
    <row r="62" customFormat="false" ht="30" hidden="false" customHeight="true" outlineLevel="0" collapsed="false">
      <c r="A62" s="23" t="s">
        <v>150</v>
      </c>
      <c r="B62" s="24" t="s">
        <v>151</v>
      </c>
      <c r="C62" s="25"/>
      <c r="D62" s="26" t="n">
        <v>0.5</v>
      </c>
      <c r="E62" s="27" t="n">
        <f aca="false">WORKDAY($C$4-1,INT(L62)+1)</f>
        <v>46286</v>
      </c>
      <c r="F62" s="27" t="n">
        <f aca="false">WORKDAY($C$4-1,ROUNDUP(M62,0))</f>
        <v>46286</v>
      </c>
      <c r="G62" s="28" t="s">
        <v>18</v>
      </c>
      <c r="H62" s="29" t="n">
        <v>0</v>
      </c>
      <c r="I62" s="23" t="n">
        <f aca="true">IF(G62="Completado","-",F62-TODAY())</f>
        <v>48</v>
      </c>
      <c r="J62" s="25"/>
      <c r="L62" s="17" t="n">
        <f aca="false">M61</f>
        <v>35</v>
      </c>
      <c r="M62" s="17" t="n">
        <f aca="false">L62+D62</f>
        <v>35.5</v>
      </c>
    </row>
    <row r="63" customFormat="false" ht="30" hidden="false" customHeight="true" outlineLevel="0" collapsed="false">
      <c r="A63" s="23" t="s">
        <v>152</v>
      </c>
      <c r="B63" s="24" t="s">
        <v>153</v>
      </c>
      <c r="C63" s="25"/>
      <c r="D63" s="26" t="n">
        <v>0.5</v>
      </c>
      <c r="E63" s="27" t="n">
        <f aca="false">WORKDAY($C$4-1,INT(L63)+1)</f>
        <v>46286</v>
      </c>
      <c r="F63" s="27" t="n">
        <f aca="false">WORKDAY($C$4-1,ROUNDUP(M63,0))</f>
        <v>46286</v>
      </c>
      <c r="G63" s="28" t="s">
        <v>18</v>
      </c>
      <c r="H63" s="29" t="n">
        <v>0</v>
      </c>
      <c r="I63" s="23" t="n">
        <f aca="true">IF(G63="Completado","-",F63-TODAY())</f>
        <v>48</v>
      </c>
      <c r="J63" s="25"/>
      <c r="L63" s="17" t="n">
        <f aca="false">M62</f>
        <v>35.5</v>
      </c>
      <c r="M63" s="17" t="n">
        <f aca="false">L63+D63</f>
        <v>36</v>
      </c>
    </row>
    <row r="64" customFormat="false" ht="30" hidden="false" customHeight="true" outlineLevel="0" collapsed="false">
      <c r="A64" s="23" t="s">
        <v>154</v>
      </c>
      <c r="B64" s="24" t="s">
        <v>155</v>
      </c>
      <c r="C64" s="25"/>
      <c r="D64" s="26" t="n">
        <v>2</v>
      </c>
      <c r="E64" s="27" t="n">
        <f aca="false">WORKDAY($C$4-1,INT(L64)+1)</f>
        <v>46287</v>
      </c>
      <c r="F64" s="27" t="n">
        <f aca="false">WORKDAY($C$4-1,ROUNDUP(M64,0))</f>
        <v>46288</v>
      </c>
      <c r="G64" s="28" t="s">
        <v>18</v>
      </c>
      <c r="H64" s="29" t="n">
        <v>0</v>
      </c>
      <c r="I64" s="23" t="n">
        <f aca="true">IF(G64="Completado","-",F64-TODAY())</f>
        <v>50</v>
      </c>
      <c r="J64" s="25"/>
      <c r="L64" s="17" t="n">
        <f aca="false">M63</f>
        <v>36</v>
      </c>
      <c r="M64" s="17" t="n">
        <f aca="false">L64+D64</f>
        <v>38</v>
      </c>
    </row>
    <row r="65" customFormat="false" ht="30" hidden="false" customHeight="true" outlineLevel="0" collapsed="false">
      <c r="A65" s="23" t="s">
        <v>156</v>
      </c>
      <c r="B65" s="24" t="s">
        <v>157</v>
      </c>
      <c r="C65" s="25"/>
      <c r="D65" s="26" t="n">
        <v>2</v>
      </c>
      <c r="E65" s="27" t="n">
        <f aca="false">WORKDAY($C$4-1,INT(L65)+1)</f>
        <v>46289</v>
      </c>
      <c r="F65" s="27" t="n">
        <f aca="false">WORKDAY($C$4-1,ROUNDUP(M65,0))</f>
        <v>46290</v>
      </c>
      <c r="G65" s="28" t="s">
        <v>18</v>
      </c>
      <c r="H65" s="29" t="n">
        <v>0</v>
      </c>
      <c r="I65" s="23" t="n">
        <f aca="true">IF(G65="Completado","-",F65-TODAY())</f>
        <v>52</v>
      </c>
      <c r="J65" s="25"/>
      <c r="L65" s="17" t="n">
        <f aca="false">M64</f>
        <v>38</v>
      </c>
      <c r="M65" s="17" t="n">
        <f aca="false">L65+D65</f>
        <v>40</v>
      </c>
    </row>
    <row r="66" customFormat="false" ht="19.5" hidden="false" customHeight="true" outlineLevel="0" collapsed="false">
      <c r="A66" s="18" t="s">
        <v>158</v>
      </c>
      <c r="B66" s="19" t="s">
        <v>159</v>
      </c>
      <c r="C66" s="19"/>
      <c r="D66" s="20" t="n">
        <f aca="false">SUM(D67:D70)</f>
        <v>3</v>
      </c>
      <c r="E66" s="21" t="n">
        <f aca="false">E67</f>
        <v>46293</v>
      </c>
      <c r="F66" s="21" t="n">
        <f aca="false">F70</f>
        <v>46295</v>
      </c>
      <c r="G66" s="18" t="str">
        <f aca="false">IF(H66=1,"Completado",IF(H66=0,"No iniciado","En progreso"))</f>
        <v>No iniciado</v>
      </c>
      <c r="H66" s="22" t="n">
        <f aca="false">IFERROR(SUMPRODUCT(D67:D70,H67:H70)/SUM(D67:D70),0)</f>
        <v>0</v>
      </c>
      <c r="I66" s="18" t="n">
        <f aca="true">IF(G66="Completado","-",F66-TODAY())</f>
        <v>57</v>
      </c>
      <c r="J66" s="19"/>
      <c r="L66" s="17" t="n">
        <f aca="false">M65</f>
        <v>40</v>
      </c>
      <c r="M66" s="17" t="n">
        <f aca="false">L66</f>
        <v>40</v>
      </c>
    </row>
    <row r="67" customFormat="false" ht="30" hidden="false" customHeight="true" outlineLevel="0" collapsed="false">
      <c r="A67" s="23" t="s">
        <v>160</v>
      </c>
      <c r="B67" s="24" t="s">
        <v>161</v>
      </c>
      <c r="C67" s="25"/>
      <c r="D67" s="26" t="n">
        <v>0.5</v>
      </c>
      <c r="E67" s="27" t="n">
        <f aca="false">WORKDAY($C$4-1,INT(L67)+1)</f>
        <v>46293</v>
      </c>
      <c r="F67" s="27" t="n">
        <f aca="false">WORKDAY($C$4-1,ROUNDUP(M67,0))</f>
        <v>46293</v>
      </c>
      <c r="G67" s="28" t="s">
        <v>18</v>
      </c>
      <c r="H67" s="29" t="n">
        <v>0</v>
      </c>
      <c r="I67" s="23" t="n">
        <f aca="true">IF(G67="Completado","-",F67-TODAY())</f>
        <v>55</v>
      </c>
      <c r="J67" s="25"/>
      <c r="L67" s="17" t="n">
        <f aca="false">M66</f>
        <v>40</v>
      </c>
      <c r="M67" s="17" t="n">
        <f aca="false">L67+D67</f>
        <v>40.5</v>
      </c>
    </row>
    <row r="68" customFormat="false" ht="30" hidden="false" customHeight="true" outlineLevel="0" collapsed="false">
      <c r="A68" s="23" t="s">
        <v>162</v>
      </c>
      <c r="B68" s="24" t="s">
        <v>163</v>
      </c>
      <c r="C68" s="25"/>
      <c r="D68" s="26" t="n">
        <v>1</v>
      </c>
      <c r="E68" s="27" t="n">
        <f aca="false">WORKDAY($C$4-1,INT(L68)+1)</f>
        <v>46293</v>
      </c>
      <c r="F68" s="27" t="n">
        <f aca="false">WORKDAY($C$4-1,ROUNDUP(M68,0))</f>
        <v>46294</v>
      </c>
      <c r="G68" s="28" t="s">
        <v>18</v>
      </c>
      <c r="H68" s="29" t="n">
        <v>0</v>
      </c>
      <c r="I68" s="23" t="n">
        <f aca="true">IF(G68="Completado","-",F68-TODAY())</f>
        <v>56</v>
      </c>
      <c r="J68" s="25"/>
      <c r="L68" s="17" t="n">
        <f aca="false">M67</f>
        <v>40.5</v>
      </c>
      <c r="M68" s="17" t="n">
        <f aca="false">L68+D68</f>
        <v>41.5</v>
      </c>
    </row>
    <row r="69" customFormat="false" ht="30" hidden="false" customHeight="true" outlineLevel="0" collapsed="false">
      <c r="A69" s="23" t="s">
        <v>164</v>
      </c>
      <c r="B69" s="24" t="s">
        <v>165</v>
      </c>
      <c r="C69" s="25"/>
      <c r="D69" s="26" t="n">
        <v>0.5</v>
      </c>
      <c r="E69" s="27" t="n">
        <f aca="false">WORKDAY($C$4-1,INT(L69)+1)</f>
        <v>46294</v>
      </c>
      <c r="F69" s="27" t="n">
        <f aca="false">WORKDAY($C$4-1,ROUNDUP(M69,0))</f>
        <v>46294</v>
      </c>
      <c r="G69" s="28" t="s">
        <v>18</v>
      </c>
      <c r="H69" s="29" t="n">
        <v>0</v>
      </c>
      <c r="I69" s="23" t="n">
        <f aca="true">IF(G69="Completado","-",F69-TODAY())</f>
        <v>56</v>
      </c>
      <c r="J69" s="25"/>
      <c r="L69" s="17" t="n">
        <f aca="false">M68</f>
        <v>41.5</v>
      </c>
      <c r="M69" s="17" t="n">
        <f aca="false">L69+D69</f>
        <v>42</v>
      </c>
    </row>
    <row r="70" customFormat="false" ht="30" hidden="false" customHeight="true" outlineLevel="0" collapsed="false">
      <c r="A70" s="23" t="s">
        <v>166</v>
      </c>
      <c r="B70" s="24" t="s">
        <v>167</v>
      </c>
      <c r="C70" s="25"/>
      <c r="D70" s="26" t="n">
        <v>1</v>
      </c>
      <c r="E70" s="27" t="n">
        <f aca="false">WORKDAY($C$4-1,INT(L70)+1)</f>
        <v>46295</v>
      </c>
      <c r="F70" s="27" t="n">
        <f aca="false">WORKDAY($C$4-1,ROUNDUP(M70,0))</f>
        <v>46295</v>
      </c>
      <c r="G70" s="28" t="s">
        <v>18</v>
      </c>
      <c r="H70" s="29" t="n">
        <v>0</v>
      </c>
      <c r="I70" s="23" t="n">
        <f aca="true">IF(G70="Completado","-",F70-TODAY())</f>
        <v>57</v>
      </c>
      <c r="J70" s="25"/>
      <c r="L70" s="17" t="n">
        <f aca="false">M69</f>
        <v>42</v>
      </c>
      <c r="M70" s="17" t="n">
        <f aca="false">L70+D70</f>
        <v>43</v>
      </c>
    </row>
  </sheetData>
  <mergeCells count="4">
    <mergeCell ref="A1:J1"/>
    <mergeCell ref="A2:J2"/>
    <mergeCell ref="A4:B4"/>
    <mergeCell ref="A5:J5"/>
  </mergeCells>
  <conditionalFormatting sqref="G8:G70">
    <cfRule type="cellIs" priority="2" operator="equal" aboveAverage="0" equalAverage="0" bottom="0" percent="0" rank="0" text="" dxfId="0">
      <formula>"Completado"</formula>
    </cfRule>
    <cfRule type="cellIs" priority="3" operator="equal" aboveAverage="0" equalAverage="0" bottom="0" percent="0" rank="0" text="" dxfId="1">
      <formula>"En progreso"</formula>
    </cfRule>
    <cfRule type="cellIs" priority="4" operator="equal" aboveAverage="0" equalAverage="0" bottom="0" percent="0" rank="0" text="" dxfId="2">
      <formula>"Retrasado"</formula>
    </cfRule>
    <cfRule type="cellIs" priority="5" operator="equal" aboveAverage="0" equalAverage="0" bottom="0" percent="0" rank="0" text="" dxfId="3">
      <formula>"Bloqueado"</formula>
    </cfRule>
  </conditionalFormatting>
  <conditionalFormatting sqref="A8:J70">
    <cfRule type="expression" priority="6" aboveAverage="0" equalAverage="0" bottom="0" percent="0" rank="0" text="" dxfId="4">
      <formula>AND($G8&lt;&gt;"Completado",$G8&lt;&gt;"",$F8&lt;TODAY())</formula>
    </cfRule>
  </conditionalFormatting>
  <conditionalFormatting sqref="H8:H70">
    <cfRule type="colorScale" priority="7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dataValidations count="3">
    <dataValidation allowBlank="false" error="Selecciona un estado de la lista" errorStyle="stop" operator="between" showDropDown="false" showErrorMessage="false" showInputMessage="false" sqref="G10:G17 G19:G27 G29:G36 G38:G46 G48:G55 G57:G65 G67:G70" type="list">
      <formula1>Listas!$B$2:$B$6</formula1>
      <formula2>0</formula2>
    </dataValidation>
    <dataValidation allowBlank="true" errorStyle="stop" operator="between" showDropDown="false" showErrorMessage="false" showInputMessage="false" sqref="C10:C17 C19:C27 C29:C36 C38:C46 C48:C55 C57:C65 C67:C70" type="list">
      <formula1>Listas!$A$2:$A$8</formula1>
      <formula2>0</formula2>
    </dataValidation>
    <dataValidation allowBlank="true" error="Ingresa un valor entre 0% y 100%" errorStyle="stop" operator="between" showDropDown="false" showErrorMessage="false" showInputMessage="false" sqref="H10:H17 H19:H27 H29:H36 H38:H46 H48:H55 H57:H65 H67:H7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73" min="4" style="0" width="2.6"/>
  </cols>
  <sheetData>
    <row r="1" customFormat="false" ht="21.75" hidden="false" customHeight="true" outlineLevel="0" collapsed="false">
      <c r="A1" s="30" t="s">
        <v>168</v>
      </c>
      <c r="B1" s="30"/>
      <c r="C1" s="30"/>
    </row>
    <row r="2" customFormat="false" ht="39.75" hidden="false" customHeight="true" outlineLevel="0" collapsed="false">
      <c r="A2" s="11" t="s">
        <v>34</v>
      </c>
      <c r="B2" s="11" t="s">
        <v>169</v>
      </c>
      <c r="C2" s="11" t="s">
        <v>36</v>
      </c>
      <c r="D2" s="31" t="n">
        <f aca="false">'Plan de Control'!C$4</f>
        <v>46237</v>
      </c>
      <c r="E2" s="31" t="n">
        <f aca="false">'Plan de Control'!C$4+1</f>
        <v>46238</v>
      </c>
      <c r="F2" s="31" t="n">
        <f aca="false">'Plan de Control'!C$4+2</f>
        <v>46239</v>
      </c>
      <c r="G2" s="31" t="n">
        <f aca="false">'Plan de Control'!C$4+3</f>
        <v>46240</v>
      </c>
      <c r="H2" s="31" t="n">
        <f aca="false">'Plan de Control'!C$4+4</f>
        <v>46241</v>
      </c>
      <c r="I2" s="31" t="n">
        <f aca="false">'Plan de Control'!C$4+5</f>
        <v>46242</v>
      </c>
      <c r="J2" s="31" t="n">
        <f aca="false">'Plan de Control'!C$4+6</f>
        <v>46243</v>
      </c>
      <c r="K2" s="31" t="n">
        <f aca="false">'Plan de Control'!C$4+7</f>
        <v>46244</v>
      </c>
      <c r="L2" s="31" t="n">
        <f aca="false">'Plan de Control'!C$4+8</f>
        <v>46245</v>
      </c>
      <c r="M2" s="31" t="n">
        <f aca="false">'Plan de Control'!C$4+9</f>
        <v>46246</v>
      </c>
      <c r="N2" s="31" t="n">
        <f aca="false">'Plan de Control'!C$4+10</f>
        <v>46247</v>
      </c>
      <c r="O2" s="31" t="n">
        <f aca="false">'Plan de Control'!C$4+11</f>
        <v>46248</v>
      </c>
      <c r="P2" s="31" t="n">
        <f aca="false">'Plan de Control'!C$4+12</f>
        <v>46249</v>
      </c>
      <c r="Q2" s="31" t="n">
        <f aca="false">'Plan de Control'!C$4+13</f>
        <v>46250</v>
      </c>
      <c r="R2" s="31" t="n">
        <f aca="false">'Plan de Control'!C$4+14</f>
        <v>46251</v>
      </c>
      <c r="S2" s="31" t="n">
        <f aca="false">'Plan de Control'!C$4+15</f>
        <v>46252</v>
      </c>
      <c r="T2" s="31" t="n">
        <f aca="false">'Plan de Control'!C$4+16</f>
        <v>46253</v>
      </c>
      <c r="U2" s="31" t="n">
        <f aca="false">'Plan de Control'!C$4+17</f>
        <v>46254</v>
      </c>
      <c r="V2" s="31" t="n">
        <f aca="false">'Plan de Control'!C$4+18</f>
        <v>46255</v>
      </c>
      <c r="W2" s="31" t="n">
        <f aca="false">'Plan de Control'!C$4+19</f>
        <v>46256</v>
      </c>
      <c r="X2" s="31" t="n">
        <f aca="false">'Plan de Control'!C$4+20</f>
        <v>46257</v>
      </c>
      <c r="Y2" s="31" t="n">
        <f aca="false">'Plan de Control'!C$4+21</f>
        <v>46258</v>
      </c>
      <c r="Z2" s="31" t="n">
        <f aca="false">'Plan de Control'!C$4+22</f>
        <v>46259</v>
      </c>
      <c r="AA2" s="31" t="n">
        <f aca="false">'Plan de Control'!C$4+23</f>
        <v>46260</v>
      </c>
      <c r="AB2" s="31" t="n">
        <f aca="false">'Plan de Control'!C$4+24</f>
        <v>46261</v>
      </c>
      <c r="AC2" s="31" t="n">
        <f aca="false">'Plan de Control'!C$4+25</f>
        <v>46262</v>
      </c>
      <c r="AD2" s="31" t="n">
        <f aca="false">'Plan de Control'!C$4+26</f>
        <v>46263</v>
      </c>
      <c r="AE2" s="31" t="n">
        <f aca="false">'Plan de Control'!C$4+27</f>
        <v>46264</v>
      </c>
      <c r="AF2" s="31" t="n">
        <f aca="false">'Plan de Control'!C$4+28</f>
        <v>46265</v>
      </c>
      <c r="AG2" s="31" t="n">
        <f aca="false">'Plan de Control'!C$4+29</f>
        <v>46266</v>
      </c>
      <c r="AH2" s="31" t="n">
        <f aca="false">'Plan de Control'!C$4+30</f>
        <v>46267</v>
      </c>
      <c r="AI2" s="31" t="n">
        <f aca="false">'Plan de Control'!C$4+31</f>
        <v>46268</v>
      </c>
      <c r="AJ2" s="31" t="n">
        <f aca="false">'Plan de Control'!C$4+32</f>
        <v>46269</v>
      </c>
      <c r="AK2" s="31" t="n">
        <f aca="false">'Plan de Control'!C$4+33</f>
        <v>46270</v>
      </c>
      <c r="AL2" s="31" t="n">
        <f aca="false">'Plan de Control'!C$4+34</f>
        <v>46271</v>
      </c>
      <c r="AM2" s="31" t="n">
        <f aca="false">'Plan de Control'!C$4+35</f>
        <v>46272</v>
      </c>
      <c r="AN2" s="31" t="n">
        <f aca="false">'Plan de Control'!C$4+36</f>
        <v>46273</v>
      </c>
      <c r="AO2" s="31" t="n">
        <f aca="false">'Plan de Control'!C$4+37</f>
        <v>46274</v>
      </c>
      <c r="AP2" s="31" t="n">
        <f aca="false">'Plan de Control'!C$4+38</f>
        <v>46275</v>
      </c>
      <c r="AQ2" s="31" t="n">
        <f aca="false">'Plan de Control'!C$4+39</f>
        <v>46276</v>
      </c>
      <c r="AR2" s="31" t="n">
        <f aca="false">'Plan de Control'!C$4+40</f>
        <v>46277</v>
      </c>
      <c r="AS2" s="31" t="n">
        <f aca="false">'Plan de Control'!C$4+41</f>
        <v>46278</v>
      </c>
      <c r="AT2" s="31" t="n">
        <f aca="false">'Plan de Control'!C$4+42</f>
        <v>46279</v>
      </c>
      <c r="AU2" s="31" t="n">
        <f aca="false">'Plan de Control'!C$4+43</f>
        <v>46280</v>
      </c>
      <c r="AV2" s="31" t="n">
        <f aca="false">'Plan de Control'!C$4+44</f>
        <v>46281</v>
      </c>
      <c r="AW2" s="31" t="n">
        <f aca="false">'Plan de Control'!C$4+45</f>
        <v>46282</v>
      </c>
      <c r="AX2" s="31" t="n">
        <f aca="false">'Plan de Control'!C$4+46</f>
        <v>46283</v>
      </c>
      <c r="AY2" s="31" t="n">
        <f aca="false">'Plan de Control'!C$4+47</f>
        <v>46284</v>
      </c>
      <c r="AZ2" s="31" t="n">
        <f aca="false">'Plan de Control'!C$4+48</f>
        <v>46285</v>
      </c>
      <c r="BA2" s="31" t="n">
        <f aca="false">'Plan de Control'!C$4+49</f>
        <v>46286</v>
      </c>
      <c r="BB2" s="31" t="n">
        <f aca="false">'Plan de Control'!C$4+50</f>
        <v>46287</v>
      </c>
      <c r="BC2" s="31" t="n">
        <f aca="false">'Plan de Control'!C$4+51</f>
        <v>46288</v>
      </c>
      <c r="BD2" s="31" t="n">
        <f aca="false">'Plan de Control'!C$4+52</f>
        <v>46289</v>
      </c>
      <c r="BE2" s="31" t="n">
        <f aca="false">'Plan de Control'!C$4+53</f>
        <v>46290</v>
      </c>
      <c r="BF2" s="31" t="n">
        <f aca="false">'Plan de Control'!C$4+54</f>
        <v>46291</v>
      </c>
      <c r="BG2" s="31" t="n">
        <f aca="false">'Plan de Control'!C$4+55</f>
        <v>46292</v>
      </c>
      <c r="BH2" s="31" t="n">
        <f aca="false">'Plan de Control'!C$4+56</f>
        <v>46293</v>
      </c>
      <c r="BI2" s="31" t="n">
        <f aca="false">'Plan de Control'!C$4+57</f>
        <v>46294</v>
      </c>
      <c r="BJ2" s="31" t="n">
        <f aca="false">'Plan de Control'!C$4+58</f>
        <v>46295</v>
      </c>
      <c r="BK2" s="31" t="n">
        <f aca="false">'Plan de Control'!C$4+59</f>
        <v>46296</v>
      </c>
      <c r="BL2" s="31" t="n">
        <f aca="false">'Plan de Control'!C$4+60</f>
        <v>46297</v>
      </c>
      <c r="BM2" s="31" t="n">
        <f aca="false">'Plan de Control'!C$4+61</f>
        <v>46298</v>
      </c>
      <c r="BN2" s="31" t="n">
        <f aca="false">'Plan de Control'!C$4+62</f>
        <v>46299</v>
      </c>
      <c r="BO2" s="31" t="n">
        <f aca="false">'Plan de Control'!C$4+63</f>
        <v>46300</v>
      </c>
      <c r="BP2" s="31" t="n">
        <f aca="false">'Plan de Control'!C$4+64</f>
        <v>46301</v>
      </c>
      <c r="BQ2" s="31" t="n">
        <f aca="false">'Plan de Control'!C$4+65</f>
        <v>46302</v>
      </c>
      <c r="BR2" s="31" t="n">
        <f aca="false">'Plan de Control'!C$4+66</f>
        <v>46303</v>
      </c>
      <c r="BS2" s="31" t="n">
        <f aca="false">'Plan de Control'!C$4+67</f>
        <v>46304</v>
      </c>
      <c r="BT2" s="31" t="n">
        <f aca="false">'Plan de Control'!C$4+68</f>
        <v>46305</v>
      </c>
      <c r="BU2" s="31" t="n">
        <f aca="false">'Plan de Control'!C$4+69</f>
        <v>46306</v>
      </c>
    </row>
    <row r="3" customFormat="false" ht="21.75" hidden="false" customHeight="true" outlineLevel="0" collapsed="false">
      <c r="A3" s="13"/>
      <c r="B3" s="32" t="s">
        <v>43</v>
      </c>
      <c r="C3" s="13" t="n">
        <f aca="false">'Plan de Control'!C8</f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</row>
    <row r="4" customFormat="false" ht="21.75" hidden="false" customHeight="true" outlineLevel="0" collapsed="false">
      <c r="A4" s="19" t="s">
        <v>44</v>
      </c>
      <c r="B4" s="34" t="s">
        <v>45</v>
      </c>
      <c r="C4" s="19" t="n">
        <f aca="false">'Plan de Control'!C9</f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</row>
    <row r="5" customFormat="false" ht="25.5" hidden="false" customHeight="true" outlineLevel="0" collapsed="false">
      <c r="A5" s="35" t="s">
        <v>46</v>
      </c>
      <c r="B5" s="36" t="s">
        <v>47</v>
      </c>
      <c r="C5" s="35" t="n">
        <f aca="false">'Plan de Control'!C10</f>
        <v>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</row>
    <row r="6" customFormat="false" ht="25.5" hidden="false" customHeight="true" outlineLevel="0" collapsed="false">
      <c r="A6" s="35" t="s">
        <v>48</v>
      </c>
      <c r="B6" s="36" t="s">
        <v>49</v>
      </c>
      <c r="C6" s="35" t="n">
        <f aca="false">'Plan de Control'!C11</f>
        <v>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</row>
    <row r="7" customFormat="false" ht="25.5" hidden="false" customHeight="true" outlineLevel="0" collapsed="false">
      <c r="A7" s="35" t="s">
        <v>50</v>
      </c>
      <c r="B7" s="36" t="s">
        <v>51</v>
      </c>
      <c r="C7" s="35" t="n">
        <f aca="false">'Plan de Control'!C12</f>
        <v>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</row>
    <row r="8" customFormat="false" ht="25.5" hidden="false" customHeight="true" outlineLevel="0" collapsed="false">
      <c r="A8" s="35" t="s">
        <v>52</v>
      </c>
      <c r="B8" s="36" t="s">
        <v>53</v>
      </c>
      <c r="C8" s="35" t="n">
        <f aca="false">'Plan de Control'!C13</f>
        <v>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</row>
    <row r="9" customFormat="false" ht="25.5" hidden="false" customHeight="true" outlineLevel="0" collapsed="false">
      <c r="A9" s="35" t="s">
        <v>54</v>
      </c>
      <c r="B9" s="36" t="s">
        <v>55</v>
      </c>
      <c r="C9" s="35" t="n">
        <f aca="false">'Plan de Control'!C14</f>
        <v>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</row>
    <row r="10" customFormat="false" ht="25.5" hidden="false" customHeight="true" outlineLevel="0" collapsed="false">
      <c r="A10" s="35" t="s">
        <v>56</v>
      </c>
      <c r="B10" s="36" t="s">
        <v>57</v>
      </c>
      <c r="C10" s="35" t="n">
        <f aca="false">'Plan de Control'!C15</f>
        <v>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</row>
    <row r="11" customFormat="false" ht="25.5" hidden="false" customHeight="true" outlineLevel="0" collapsed="false">
      <c r="A11" s="35" t="s">
        <v>58</v>
      </c>
      <c r="B11" s="36" t="s">
        <v>59</v>
      </c>
      <c r="C11" s="35" t="n">
        <f aca="false">'Plan de Control'!C16</f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</row>
    <row r="12" customFormat="false" ht="25.5" hidden="false" customHeight="true" outlineLevel="0" collapsed="false">
      <c r="A12" s="35" t="s">
        <v>60</v>
      </c>
      <c r="B12" s="36" t="s">
        <v>61</v>
      </c>
      <c r="C12" s="35" t="n">
        <f aca="false">'Plan de Control'!C17</f>
        <v>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</row>
    <row r="13" customFormat="false" ht="21.75" hidden="false" customHeight="true" outlineLevel="0" collapsed="false">
      <c r="A13" s="19" t="s">
        <v>62</v>
      </c>
      <c r="B13" s="34" t="s">
        <v>63</v>
      </c>
      <c r="C13" s="19" t="n">
        <f aca="false">'Plan de Control'!C18</f>
        <v>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</row>
    <row r="14" customFormat="false" ht="25.5" hidden="false" customHeight="true" outlineLevel="0" collapsed="false">
      <c r="A14" s="35" t="s">
        <v>64</v>
      </c>
      <c r="B14" s="36" t="s">
        <v>65</v>
      </c>
      <c r="C14" s="35" t="n">
        <f aca="false">'Plan de Control'!C19</f>
        <v>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</row>
    <row r="15" customFormat="false" ht="25.5" hidden="false" customHeight="true" outlineLevel="0" collapsed="false">
      <c r="A15" s="35" t="s">
        <v>66</v>
      </c>
      <c r="B15" s="36" t="s">
        <v>67</v>
      </c>
      <c r="C15" s="35" t="n">
        <f aca="false">'Plan de Control'!C20</f>
        <v>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</row>
    <row r="16" customFormat="false" ht="25.5" hidden="false" customHeight="true" outlineLevel="0" collapsed="false">
      <c r="A16" s="35" t="s">
        <v>68</v>
      </c>
      <c r="B16" s="36" t="s">
        <v>69</v>
      </c>
      <c r="C16" s="35" t="n">
        <f aca="false">'Plan de Control'!C21</f>
        <v>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</row>
    <row r="17" customFormat="false" ht="25.5" hidden="false" customHeight="true" outlineLevel="0" collapsed="false">
      <c r="A17" s="35" t="s">
        <v>70</v>
      </c>
      <c r="B17" s="36" t="s">
        <v>71</v>
      </c>
      <c r="C17" s="35" t="n">
        <f aca="false">'Plan de Control'!C22</f>
        <v>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</row>
    <row r="18" customFormat="false" ht="25.5" hidden="false" customHeight="true" outlineLevel="0" collapsed="false">
      <c r="A18" s="35" t="s">
        <v>72</v>
      </c>
      <c r="B18" s="36" t="s">
        <v>73</v>
      </c>
      <c r="C18" s="35" t="n">
        <f aca="false">'Plan de Control'!C23</f>
        <v>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</row>
    <row r="19" customFormat="false" ht="25.5" hidden="false" customHeight="true" outlineLevel="0" collapsed="false">
      <c r="A19" s="35" t="s">
        <v>74</v>
      </c>
      <c r="B19" s="36" t="s">
        <v>75</v>
      </c>
      <c r="C19" s="35" t="n">
        <f aca="false">'Plan de Control'!C24</f>
        <v>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</row>
    <row r="20" customFormat="false" ht="25.5" hidden="false" customHeight="true" outlineLevel="0" collapsed="false">
      <c r="A20" s="35" t="s">
        <v>76</v>
      </c>
      <c r="B20" s="36" t="s">
        <v>77</v>
      </c>
      <c r="C20" s="35" t="n">
        <f aca="false">'Plan de Control'!C25</f>
        <v>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</row>
    <row r="21" customFormat="false" ht="25.5" hidden="false" customHeight="true" outlineLevel="0" collapsed="false">
      <c r="A21" s="35" t="s">
        <v>78</v>
      </c>
      <c r="B21" s="36" t="s">
        <v>79</v>
      </c>
      <c r="C21" s="35" t="n">
        <f aca="false">'Plan de Control'!C26</f>
        <v>0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</row>
    <row r="22" customFormat="false" ht="25.5" hidden="false" customHeight="true" outlineLevel="0" collapsed="false">
      <c r="A22" s="35" t="s">
        <v>80</v>
      </c>
      <c r="B22" s="36" t="s">
        <v>81</v>
      </c>
      <c r="C22" s="35" t="n">
        <f aca="false">'Plan de Control'!C27</f>
        <v>0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</row>
    <row r="23" customFormat="false" ht="21.75" hidden="false" customHeight="true" outlineLevel="0" collapsed="false">
      <c r="A23" s="19" t="s">
        <v>82</v>
      </c>
      <c r="B23" s="34" t="s">
        <v>83</v>
      </c>
      <c r="C23" s="19" t="n">
        <f aca="false">'Plan de Control'!C28</f>
        <v>0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</row>
    <row r="24" customFormat="false" ht="25.5" hidden="false" customHeight="true" outlineLevel="0" collapsed="false">
      <c r="A24" s="35" t="s">
        <v>84</v>
      </c>
      <c r="B24" s="36" t="s">
        <v>85</v>
      </c>
      <c r="C24" s="35" t="n">
        <f aca="false">'Plan de Control'!C29</f>
        <v>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</row>
    <row r="25" customFormat="false" ht="25.5" hidden="false" customHeight="true" outlineLevel="0" collapsed="false">
      <c r="A25" s="35" t="s">
        <v>86</v>
      </c>
      <c r="B25" s="36" t="s">
        <v>87</v>
      </c>
      <c r="C25" s="35" t="n">
        <f aca="false">'Plan de Control'!C30</f>
        <v>0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</row>
    <row r="26" customFormat="false" ht="25.5" hidden="false" customHeight="true" outlineLevel="0" collapsed="false">
      <c r="A26" s="35" t="s">
        <v>88</v>
      </c>
      <c r="B26" s="36" t="s">
        <v>89</v>
      </c>
      <c r="C26" s="35" t="n">
        <f aca="false">'Plan de Control'!C31</f>
        <v>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</row>
    <row r="27" customFormat="false" ht="25.5" hidden="false" customHeight="true" outlineLevel="0" collapsed="false">
      <c r="A27" s="35" t="s">
        <v>90</v>
      </c>
      <c r="B27" s="36" t="s">
        <v>91</v>
      </c>
      <c r="C27" s="35" t="n">
        <f aca="false">'Plan de Control'!C32</f>
        <v>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</row>
    <row r="28" customFormat="false" ht="25.5" hidden="false" customHeight="true" outlineLevel="0" collapsed="false">
      <c r="A28" s="35" t="s">
        <v>92</v>
      </c>
      <c r="B28" s="36" t="s">
        <v>93</v>
      </c>
      <c r="C28" s="35" t="n">
        <f aca="false">'Plan de Control'!C33</f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</row>
    <row r="29" customFormat="false" ht="25.5" hidden="false" customHeight="true" outlineLevel="0" collapsed="false">
      <c r="A29" s="35" t="s">
        <v>94</v>
      </c>
      <c r="B29" s="36" t="s">
        <v>95</v>
      </c>
      <c r="C29" s="35" t="n">
        <f aca="false">'Plan de Control'!C34</f>
        <v>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</row>
    <row r="30" customFormat="false" ht="25.5" hidden="false" customHeight="true" outlineLevel="0" collapsed="false">
      <c r="A30" s="35" t="s">
        <v>96</v>
      </c>
      <c r="B30" s="36" t="s">
        <v>97</v>
      </c>
      <c r="C30" s="35" t="n">
        <f aca="false">'Plan de Control'!C35</f>
        <v>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</row>
    <row r="31" customFormat="false" ht="25.5" hidden="false" customHeight="true" outlineLevel="0" collapsed="false">
      <c r="A31" s="35" t="s">
        <v>98</v>
      </c>
      <c r="B31" s="36" t="s">
        <v>99</v>
      </c>
      <c r="C31" s="35" t="n">
        <f aca="false">'Plan de Control'!C36</f>
        <v>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</row>
    <row r="32" customFormat="false" ht="21.75" hidden="false" customHeight="true" outlineLevel="0" collapsed="false">
      <c r="A32" s="19" t="s">
        <v>100</v>
      </c>
      <c r="B32" s="34" t="s">
        <v>101</v>
      </c>
      <c r="C32" s="19" t="n">
        <f aca="false">'Plan de Control'!C37</f>
        <v>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</row>
    <row r="33" customFormat="false" ht="25.5" hidden="false" customHeight="true" outlineLevel="0" collapsed="false">
      <c r="A33" s="35" t="s">
        <v>102</v>
      </c>
      <c r="B33" s="36" t="s">
        <v>103</v>
      </c>
      <c r="C33" s="35" t="n">
        <f aca="false">'Plan de Control'!C38</f>
        <v>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</row>
    <row r="34" customFormat="false" ht="25.5" hidden="false" customHeight="true" outlineLevel="0" collapsed="false">
      <c r="A34" s="35" t="s">
        <v>104</v>
      </c>
      <c r="B34" s="36" t="s">
        <v>105</v>
      </c>
      <c r="C34" s="35" t="n">
        <f aca="false">'Plan de Control'!C39</f>
        <v>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</row>
    <row r="35" customFormat="false" ht="25.5" hidden="false" customHeight="true" outlineLevel="0" collapsed="false">
      <c r="A35" s="35" t="s">
        <v>106</v>
      </c>
      <c r="B35" s="36" t="s">
        <v>107</v>
      </c>
      <c r="C35" s="35" t="n">
        <f aca="false">'Plan de Control'!C40</f>
        <v>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</row>
    <row r="36" customFormat="false" ht="25.5" hidden="false" customHeight="true" outlineLevel="0" collapsed="false">
      <c r="A36" s="35" t="s">
        <v>108</v>
      </c>
      <c r="B36" s="36" t="s">
        <v>109</v>
      </c>
      <c r="C36" s="35" t="n">
        <f aca="false">'Plan de Control'!C41</f>
        <v>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</row>
    <row r="37" customFormat="false" ht="25.5" hidden="false" customHeight="true" outlineLevel="0" collapsed="false">
      <c r="A37" s="35" t="s">
        <v>110</v>
      </c>
      <c r="B37" s="36" t="s">
        <v>111</v>
      </c>
      <c r="C37" s="35" t="n">
        <f aca="false">'Plan de Control'!C42</f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</row>
    <row r="38" customFormat="false" ht="25.5" hidden="false" customHeight="true" outlineLevel="0" collapsed="false">
      <c r="A38" s="35" t="s">
        <v>112</v>
      </c>
      <c r="B38" s="36" t="s">
        <v>113</v>
      </c>
      <c r="C38" s="35" t="n">
        <f aca="false">'Plan de Control'!C43</f>
        <v>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</row>
    <row r="39" customFormat="false" ht="25.5" hidden="false" customHeight="true" outlineLevel="0" collapsed="false">
      <c r="A39" s="35" t="s">
        <v>114</v>
      </c>
      <c r="B39" s="36" t="s">
        <v>115</v>
      </c>
      <c r="C39" s="35" t="n">
        <f aca="false">'Plan de Control'!C44</f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</row>
    <row r="40" customFormat="false" ht="25.5" hidden="false" customHeight="true" outlineLevel="0" collapsed="false">
      <c r="A40" s="35" t="s">
        <v>116</v>
      </c>
      <c r="B40" s="36" t="s">
        <v>117</v>
      </c>
      <c r="C40" s="35" t="n">
        <f aca="false">'Plan de Control'!C45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</row>
    <row r="41" customFormat="false" ht="25.5" hidden="false" customHeight="true" outlineLevel="0" collapsed="false">
      <c r="A41" s="35" t="s">
        <v>118</v>
      </c>
      <c r="B41" s="36" t="s">
        <v>119</v>
      </c>
      <c r="C41" s="35" t="n">
        <f aca="false">'Plan de Control'!C46</f>
        <v>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</row>
    <row r="42" customFormat="false" ht="21.75" hidden="false" customHeight="true" outlineLevel="0" collapsed="false">
      <c r="A42" s="19" t="s">
        <v>120</v>
      </c>
      <c r="B42" s="34" t="s">
        <v>121</v>
      </c>
      <c r="C42" s="19" t="n">
        <f aca="false">'Plan de Control'!C47</f>
        <v>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</row>
    <row r="43" customFormat="false" ht="25.5" hidden="false" customHeight="true" outlineLevel="0" collapsed="false">
      <c r="A43" s="35" t="s">
        <v>122</v>
      </c>
      <c r="B43" s="36" t="s">
        <v>123</v>
      </c>
      <c r="C43" s="35" t="n">
        <f aca="false">'Plan de Control'!C48</f>
        <v>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</row>
    <row r="44" customFormat="false" ht="25.5" hidden="false" customHeight="true" outlineLevel="0" collapsed="false">
      <c r="A44" s="35" t="s">
        <v>124</v>
      </c>
      <c r="B44" s="36" t="s">
        <v>125</v>
      </c>
      <c r="C44" s="35" t="n">
        <f aca="false">'Plan de Control'!C49</f>
        <v>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</row>
    <row r="45" customFormat="false" ht="25.5" hidden="false" customHeight="true" outlineLevel="0" collapsed="false">
      <c r="A45" s="35" t="s">
        <v>126</v>
      </c>
      <c r="B45" s="36" t="s">
        <v>127</v>
      </c>
      <c r="C45" s="35" t="n">
        <f aca="false">'Plan de Control'!C50</f>
        <v>0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</row>
    <row r="46" customFormat="false" ht="25.5" hidden="false" customHeight="true" outlineLevel="0" collapsed="false">
      <c r="A46" s="35" t="s">
        <v>128</v>
      </c>
      <c r="B46" s="36" t="s">
        <v>129</v>
      </c>
      <c r="C46" s="35" t="n">
        <f aca="false">'Plan de Control'!C51</f>
        <v>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</row>
    <row r="47" customFormat="false" ht="25.5" hidden="false" customHeight="true" outlineLevel="0" collapsed="false">
      <c r="A47" s="35" t="s">
        <v>130</v>
      </c>
      <c r="B47" s="36" t="s">
        <v>131</v>
      </c>
      <c r="C47" s="35" t="n">
        <f aca="false">'Plan de Control'!C52</f>
        <v>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</row>
    <row r="48" customFormat="false" ht="25.5" hidden="false" customHeight="true" outlineLevel="0" collapsed="false">
      <c r="A48" s="35" t="s">
        <v>132</v>
      </c>
      <c r="B48" s="36" t="s">
        <v>133</v>
      </c>
      <c r="C48" s="35" t="n">
        <f aca="false">'Plan de Control'!C53</f>
        <v>0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</row>
    <row r="49" customFormat="false" ht="25.5" hidden="false" customHeight="true" outlineLevel="0" collapsed="false">
      <c r="A49" s="35" t="s">
        <v>134</v>
      </c>
      <c r="B49" s="36" t="s">
        <v>135</v>
      </c>
      <c r="C49" s="35" t="n">
        <f aca="false">'Plan de Control'!C54</f>
        <v>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</row>
    <row r="50" customFormat="false" ht="25.5" hidden="false" customHeight="true" outlineLevel="0" collapsed="false">
      <c r="A50" s="35" t="s">
        <v>136</v>
      </c>
      <c r="B50" s="36" t="s">
        <v>137</v>
      </c>
      <c r="C50" s="35" t="n">
        <f aca="false">'Plan de Control'!C55</f>
        <v>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</row>
    <row r="51" customFormat="false" ht="21.75" hidden="false" customHeight="true" outlineLevel="0" collapsed="false">
      <c r="A51" s="19" t="s">
        <v>138</v>
      </c>
      <c r="B51" s="34" t="s">
        <v>139</v>
      </c>
      <c r="C51" s="19" t="n">
        <f aca="false">'Plan de Control'!C56</f>
        <v>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</row>
    <row r="52" customFormat="false" ht="25.5" hidden="false" customHeight="true" outlineLevel="0" collapsed="false">
      <c r="A52" s="35" t="s">
        <v>140</v>
      </c>
      <c r="B52" s="36" t="s">
        <v>141</v>
      </c>
      <c r="C52" s="35" t="n">
        <f aca="false">'Plan de Control'!C57</f>
        <v>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</row>
    <row r="53" customFormat="false" ht="25.5" hidden="false" customHeight="true" outlineLevel="0" collapsed="false">
      <c r="A53" s="35" t="s">
        <v>142</v>
      </c>
      <c r="B53" s="36" t="s">
        <v>143</v>
      </c>
      <c r="C53" s="35" t="n">
        <f aca="false">'Plan de Control'!C58</f>
        <v>0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</row>
    <row r="54" customFormat="false" ht="25.5" hidden="false" customHeight="true" outlineLevel="0" collapsed="false">
      <c r="A54" s="35" t="s">
        <v>144</v>
      </c>
      <c r="B54" s="36" t="s">
        <v>145</v>
      </c>
      <c r="C54" s="35" t="n">
        <f aca="false">'Plan de Control'!C59</f>
        <v>0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</row>
    <row r="55" customFormat="false" ht="25.5" hidden="false" customHeight="true" outlineLevel="0" collapsed="false">
      <c r="A55" s="35" t="s">
        <v>146</v>
      </c>
      <c r="B55" s="36" t="s">
        <v>147</v>
      </c>
      <c r="C55" s="35" t="n">
        <f aca="false">'Plan de Control'!C60</f>
        <v>0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</row>
    <row r="56" customFormat="false" ht="25.5" hidden="false" customHeight="true" outlineLevel="0" collapsed="false">
      <c r="A56" s="35" t="s">
        <v>148</v>
      </c>
      <c r="B56" s="36" t="s">
        <v>149</v>
      </c>
      <c r="C56" s="35" t="n">
        <f aca="false">'Plan de Control'!C61</f>
        <v>0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</row>
    <row r="57" customFormat="false" ht="25.5" hidden="false" customHeight="true" outlineLevel="0" collapsed="false">
      <c r="A57" s="35" t="s">
        <v>150</v>
      </c>
      <c r="B57" s="36" t="s">
        <v>151</v>
      </c>
      <c r="C57" s="35" t="n">
        <f aca="false">'Plan de Control'!C62</f>
        <v>0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</row>
    <row r="58" customFormat="false" ht="25.5" hidden="false" customHeight="true" outlineLevel="0" collapsed="false">
      <c r="A58" s="35" t="s">
        <v>152</v>
      </c>
      <c r="B58" s="36" t="s">
        <v>153</v>
      </c>
      <c r="C58" s="35" t="n">
        <f aca="false">'Plan de Control'!C63</f>
        <v>0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</row>
    <row r="59" customFormat="false" ht="25.5" hidden="false" customHeight="true" outlineLevel="0" collapsed="false">
      <c r="A59" s="35" t="s">
        <v>154</v>
      </c>
      <c r="B59" s="36" t="s">
        <v>155</v>
      </c>
      <c r="C59" s="35" t="n">
        <f aca="false">'Plan de Control'!C64</f>
        <v>0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</row>
    <row r="60" customFormat="false" ht="25.5" hidden="false" customHeight="true" outlineLevel="0" collapsed="false">
      <c r="A60" s="35" t="s">
        <v>156</v>
      </c>
      <c r="B60" s="36" t="s">
        <v>157</v>
      </c>
      <c r="C60" s="35" t="n">
        <f aca="false">'Plan de Control'!C65</f>
        <v>0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</row>
    <row r="61" customFormat="false" ht="21.75" hidden="false" customHeight="true" outlineLevel="0" collapsed="false">
      <c r="A61" s="19" t="s">
        <v>158</v>
      </c>
      <c r="B61" s="34" t="s">
        <v>159</v>
      </c>
      <c r="C61" s="19" t="n">
        <f aca="false">'Plan de Control'!C66</f>
        <v>0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</row>
    <row r="62" customFormat="false" ht="25.5" hidden="false" customHeight="true" outlineLevel="0" collapsed="false">
      <c r="A62" s="35" t="s">
        <v>160</v>
      </c>
      <c r="B62" s="36" t="s">
        <v>161</v>
      </c>
      <c r="C62" s="35" t="n">
        <f aca="false">'Plan de Control'!C67</f>
        <v>0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</row>
    <row r="63" customFormat="false" ht="25.5" hidden="false" customHeight="true" outlineLevel="0" collapsed="false">
      <c r="A63" s="35" t="s">
        <v>162</v>
      </c>
      <c r="B63" s="36" t="s">
        <v>163</v>
      </c>
      <c r="C63" s="35" t="n">
        <f aca="false">'Plan de Control'!C68</f>
        <v>0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</row>
    <row r="64" customFormat="false" ht="25.5" hidden="false" customHeight="true" outlineLevel="0" collapsed="false">
      <c r="A64" s="35" t="s">
        <v>164</v>
      </c>
      <c r="B64" s="36" t="s">
        <v>165</v>
      </c>
      <c r="C64" s="35" t="n">
        <f aca="false">'Plan de Control'!C69</f>
        <v>0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</row>
    <row r="65" customFormat="false" ht="25.5" hidden="false" customHeight="true" outlineLevel="0" collapsed="false">
      <c r="A65" s="35" t="s">
        <v>166</v>
      </c>
      <c r="B65" s="36" t="s">
        <v>167</v>
      </c>
      <c r="C65" s="35" t="n">
        <f aca="false">'Plan de Control'!C70</f>
        <v>0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</row>
  </sheetData>
  <mergeCells count="1">
    <mergeCell ref="A1:C1"/>
  </mergeCells>
  <conditionalFormatting sqref="D3:BU65">
    <cfRule type="expression" priority="2" aboveAverage="0" equalAverage="0" bottom="0" percent="0" rank="0" text="" dxfId="5">
      <formula>AND(D$2&gt;=INDEX('Plan de Control'!$E:$E,ROW()+5),D$2&lt;=INDEX('Plan de Control'!$F:$F,ROW()+5))</formula>
    </cfRule>
  </conditionalFormatting>
  <conditionalFormatting sqref="D2:BU65">
    <cfRule type="expression" priority="3" aboveAverage="0" equalAverage="0" bottom="0" percent="0" rank="0" text="" dxfId="6">
      <formula>WEEKDAY(D$2,2)&gt;5</formula>
    </cfRule>
    <cfRule type="expression" priority="4" aboveAverage="0" equalAverage="0" bottom="0" percent="0" rank="0" text="" dxfId="7">
      <formula>D$2=TODAY()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7" min="3" style="0" width="14"/>
  </cols>
  <sheetData>
    <row r="1" customFormat="false" ht="25.5" hidden="false" customHeight="true" outlineLevel="0" collapsed="false">
      <c r="A1" s="4" t="s">
        <v>170</v>
      </c>
      <c r="B1" s="4"/>
      <c r="C1" s="4"/>
      <c r="D1" s="4"/>
      <c r="E1" s="4"/>
      <c r="F1" s="4"/>
      <c r="G1" s="4"/>
    </row>
    <row r="3" customFormat="false" ht="18" hidden="false" customHeight="true" outlineLevel="0" collapsed="false">
      <c r="A3" s="37" t="s">
        <v>171</v>
      </c>
      <c r="B3" s="37"/>
      <c r="C3" s="37" t="s">
        <v>172</v>
      </c>
      <c r="D3" s="37"/>
      <c r="E3" s="37" t="s">
        <v>173</v>
      </c>
      <c r="F3" s="37"/>
      <c r="G3" s="37" t="s">
        <v>174</v>
      </c>
      <c r="H3" s="37"/>
    </row>
    <row r="4" customFormat="false" ht="25.5" hidden="false" customHeight="true" outlineLevel="0" collapsed="false">
      <c r="A4" s="38" t="n">
        <f aca="false">'Plan de Control'!E8</f>
        <v>46237</v>
      </c>
      <c r="B4" s="38"/>
      <c r="C4" s="38" t="n">
        <f aca="false">'Plan de Control'!F8</f>
        <v>46295</v>
      </c>
      <c r="D4" s="38"/>
      <c r="E4" s="39" t="n">
        <f aca="false">'Plan de Control'!D8</f>
        <v>43</v>
      </c>
      <c r="F4" s="39"/>
      <c r="G4" s="40" t="n">
        <f aca="false">'Plan de Control'!H8</f>
        <v>0</v>
      </c>
      <c r="H4" s="40"/>
    </row>
    <row r="6" customFormat="false" ht="27.75" hidden="false" customHeight="true" outlineLevel="0" collapsed="false">
      <c r="A6" s="41" t="s">
        <v>175</v>
      </c>
      <c r="B6" s="42" t="s">
        <v>176</v>
      </c>
      <c r="C6" s="43" t="s">
        <v>20</v>
      </c>
      <c r="D6" s="44" t="s">
        <v>177</v>
      </c>
      <c r="E6" s="45" t="s">
        <v>178</v>
      </c>
    </row>
    <row r="7" customFormat="false" ht="27.75" hidden="false" customHeight="true" outlineLevel="0" collapsed="false">
      <c r="A7" s="46" t="n">
        <f aca="false">COUNTA('Plan de Control'!G10:G70)</f>
        <v>61</v>
      </c>
      <c r="B7" s="46" t="n">
        <f aca="false">COUNTIF('Plan de Control'!G10:G70,"Completado")</f>
        <v>0</v>
      </c>
      <c r="C7" s="46" t="n">
        <f aca="false">COUNTIF('Plan de Control'!G10:G70,"En progreso")</f>
        <v>0</v>
      </c>
      <c r="D7" s="46" t="n">
        <f aca="false">COUNTIF('Plan de Control'!G10:G70,"No iniciado")</f>
        <v>61</v>
      </c>
      <c r="E7" s="46" t="n">
        <f aca="false">COUNTIF('Plan de Control'!G10:G70,"Retrasado")</f>
        <v>0</v>
      </c>
    </row>
    <row r="10" customFormat="false" ht="15" hidden="false" customHeight="false" outlineLevel="0" collapsed="false">
      <c r="A10" s="47" t="s">
        <v>179</v>
      </c>
      <c r="B10" s="47"/>
      <c r="C10" s="47"/>
      <c r="D10" s="47"/>
      <c r="E10" s="47"/>
      <c r="F10" s="47"/>
      <c r="G10" s="47"/>
    </row>
    <row r="11" customFormat="false" ht="15" hidden="false" customHeight="false" outlineLevel="0" collapsed="false">
      <c r="A11" s="11" t="s">
        <v>180</v>
      </c>
      <c r="B11" s="11" t="s">
        <v>181</v>
      </c>
      <c r="C11" s="11" t="s">
        <v>182</v>
      </c>
      <c r="D11" s="11" t="s">
        <v>40</v>
      </c>
    </row>
    <row r="12" customFormat="false" ht="15" hidden="false" customHeight="false" outlineLevel="0" collapsed="false">
      <c r="A12" s="48" t="s">
        <v>183</v>
      </c>
      <c r="B12" s="49" t="str">
        <f aca="false">'Plan de Control'!B9</f>
        <v>Fase 1. Identidad y Acceso (Microsoft Entra ID P1)</v>
      </c>
      <c r="C12" s="50" t="n">
        <f aca="false">'Plan de Control'!D9</f>
        <v>6</v>
      </c>
      <c r="D12" s="51" t="n">
        <f aca="false">'Plan de Control'!H9</f>
        <v>0</v>
      </c>
    </row>
    <row r="13" customFormat="false" ht="15" hidden="false" customHeight="false" outlineLevel="0" collapsed="false">
      <c r="A13" s="48" t="s">
        <v>184</v>
      </c>
      <c r="B13" s="49" t="str">
        <f aca="false">'Plan de Control'!B18</f>
        <v>Fase 2. Gestión de Dispositivos (Microsoft Intune – MDM)</v>
      </c>
      <c r="C13" s="50" t="n">
        <f aca="false">'Plan de Control'!D18</f>
        <v>9</v>
      </c>
      <c r="D13" s="51" t="n">
        <f aca="false">'Plan de Control'!H18</f>
        <v>0</v>
      </c>
    </row>
    <row r="14" customFormat="false" ht="15" hidden="false" customHeight="false" outlineLevel="0" collapsed="false">
      <c r="A14" s="48" t="s">
        <v>185</v>
      </c>
      <c r="B14" s="49" t="str">
        <f aca="false">'Plan de Control'!B28</f>
        <v>Fase 3. Protección de Aplicaciones (Microsoft Intune – MAM)</v>
      </c>
      <c r="C14" s="50" t="n">
        <f aca="false">'Plan de Control'!D28</f>
        <v>5</v>
      </c>
      <c r="D14" s="51" t="n">
        <f aca="false">'Plan de Control'!H28</f>
        <v>0</v>
      </c>
    </row>
    <row r="15" customFormat="false" ht="22.35" hidden="false" customHeight="false" outlineLevel="0" collapsed="false">
      <c r="A15" s="48" t="s">
        <v>186</v>
      </c>
      <c r="B15" s="49" t="str">
        <f aca="false">'Plan de Control'!B37</f>
        <v>Fase 4. Seguridad de Endpoints (Microsoft Defender for Business)</v>
      </c>
      <c r="C15" s="50" t="n">
        <f aca="false">'Plan de Control'!D37</f>
        <v>6</v>
      </c>
      <c r="D15" s="51" t="n">
        <f aca="false">'Plan de Control'!H37</f>
        <v>0</v>
      </c>
    </row>
    <row r="16" customFormat="false" ht="22.35" hidden="false" customHeight="false" outlineLevel="0" collapsed="false">
      <c r="A16" s="48" t="s">
        <v>187</v>
      </c>
      <c r="B16" s="49" t="str">
        <f aca="false">'Plan de Control'!B47</f>
        <v>Fase 5. Seguridad de Correo y Colaboración (Microsoft Defender for Office 365 Plan 1)</v>
      </c>
      <c r="C16" s="50" t="n">
        <f aca="false">'Plan de Control'!D47</f>
        <v>5</v>
      </c>
      <c r="D16" s="51" t="n">
        <f aca="false">'Plan de Control'!H47</f>
        <v>0</v>
      </c>
    </row>
    <row r="17" customFormat="false" ht="22.35" hidden="false" customHeight="false" outlineLevel="0" collapsed="false">
      <c r="A17" s="48" t="s">
        <v>188</v>
      </c>
      <c r="B17" s="49" t="str">
        <f aca="false">'Plan de Control'!B56</f>
        <v>Fase 6. Protección de Información (Microsoft Purview Information Protection)</v>
      </c>
      <c r="C17" s="50" t="n">
        <f aca="false">'Plan de Control'!D56</f>
        <v>9</v>
      </c>
      <c r="D17" s="51" t="n">
        <f aca="false">'Plan de Control'!H56</f>
        <v>0</v>
      </c>
    </row>
    <row r="18" customFormat="false" ht="15" hidden="false" customHeight="false" outlineLevel="0" collapsed="false">
      <c r="A18" s="48" t="s">
        <v>189</v>
      </c>
      <c r="B18" s="49" t="str">
        <f aca="false">'Plan de Control'!B66</f>
        <v>Fase 7. Cumplimiento y Gobierno Básico</v>
      </c>
      <c r="C18" s="50" t="n">
        <f aca="false">'Plan de Control'!D66</f>
        <v>3</v>
      </c>
      <c r="D18" s="51" t="n">
        <f aca="false">'Plan de Control'!H66</f>
        <v>0</v>
      </c>
    </row>
  </sheetData>
  <mergeCells count="10">
    <mergeCell ref="A1:G1"/>
    <mergeCell ref="A3:B3"/>
    <mergeCell ref="C3:D3"/>
    <mergeCell ref="E3:F3"/>
    <mergeCell ref="G3:H3"/>
    <mergeCell ref="A4:B4"/>
    <mergeCell ref="C4:D4"/>
    <mergeCell ref="E4:F4"/>
    <mergeCell ref="G4:H4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2026-08-04T05:42:03Z</dcterms:created>
  <dc:creator>openpyxl</dc:creator>
  <dc:description/>
  <dc:language>en-US</dc:language>
  <cp:lastModifiedBy/>
  <dcterms:modified xsi:type="dcterms:W3CDTF">2026-08-04T05:42:05Z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