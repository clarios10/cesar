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<sst xmlns="http://schemas.openxmlformats.org/spreadsheetml/2006/main" count="40" uniqueCount="34">
  <si>
    <t xml:space="preserve">Calculadora de Licenciamiento — BitTitan MigrationWiz</t>
  </si>
  <si>
    <t xml:space="preserve">Ejemplo de estimación para migración Google Workspace → Microsoft 365</t>
  </si>
  <si>
    <t xml:space="preserve">Leyenda:</t>
  </si>
  <si>
    <t xml:space="preserve">Celdas en AZUL = editable (ingresa tus propios números)</t>
  </si>
  <si>
    <t xml:space="preserve">Celdas en NEGRO = fórmula (se calculan solas, no editar)</t>
  </si>
  <si>
    <t xml:space="preserve">A. Buzón + OneDrive personal + SharePoint + Teams (Tenant Migration Bundle)</t>
  </si>
  <si>
    <t xml:space="preserve">Concepto</t>
  </si>
  <si>
    <t xml:space="preserve">Cantidad</t>
  </si>
  <si>
    <t xml:space="preserve">Precio unitario (USD)</t>
  </si>
  <si>
    <t xml:space="preserve">Subtotal (USD)</t>
  </si>
  <si>
    <t xml:space="preserve">Número de usuarios (buzones a migrar)</t>
  </si>
  <si>
    <t xml:space="preserve">Precio de lista oficial: $57/usuario (ver referencia al final). Incluye buzón, OneDrive personal ilimitado, Teams Private Chat y 1 extra de SharePoint/Teams incluido por licencia.</t>
  </si>
  <si>
    <t xml:space="preserve">B. Unidades Compartidas / Shared Drives adicionales → SharePoint (Shared Documents)</t>
  </si>
  <si>
    <t xml:space="preserve">Rango de tamaño de biblioteca</t>
  </si>
  <si>
    <t xml:space="preserve">Cantidad de bibliotecas</t>
  </si>
  <si>
    <t xml:space="preserve">Hasta 50 GB por biblioteca</t>
  </si>
  <si>
    <t xml:space="preserve">51–100 GB por biblioteca</t>
  </si>
  <si>
    <t xml:space="preserve">Más de 100 GB por biblioteca (cantidad de bibliotecas)</t>
  </si>
  <si>
    <t xml:space="preserve">Unidades de 100 GB estimadas por cada biblioteca &gt;100GB (ej. 250GB ≈ 3 unidades)</t>
  </si>
  <si>
    <t xml:space="preserve">Precio de lista: $25 (≤50GB) y $48 (≤100GB) por biblioteca de documentos. Ajusta cantidades según tu inventario real de Shared Drives.</t>
  </si>
  <si>
    <t xml:space="preserve">C. Opcional — Sincronización de identidades (Entra ID / AD)</t>
  </si>
  <si>
    <t xml:space="preserve">Usuarios con sync Entra ID / AD (SMB Edition) — dejar en 0 si no aplica</t>
  </si>
  <si>
    <t xml:space="preserve">Subtotal licenciamiento (precio de lista)</t>
  </si>
  <si>
    <t xml:space="preserve">Descuento estimado esperado (%) — negociable con BitTitan/partner</t>
  </si>
  <si>
    <t xml:space="preserve">TOTAL ESTIMADO CON DESCUENTO (USD)</t>
  </si>
  <si>
    <t xml:space="preserve">Notas y supuestos</t>
  </si>
  <si>
    <t xml:space="preserve">• Esta hoja calcula precio de LISTA. BitTitan y sus partners/MSP suelen ofrecer descuentos adicionales negociados según volumen.</t>
  </si>
  <si>
    <t xml:space="preserve">• El costo NO depende directamente de los TB migrados (excepto Public Folders, no incluido aquí por no aplicar típicamente a Google Workspace como origen).</t>
  </si>
  <si>
    <t xml:space="preserve">• Ajusta la cantidad y tamaño de Shared Drives con el inventario real (fase de descubrimiento) antes de cotizar formalmente.</t>
  </si>
  <si>
    <t xml:space="preserve">• Esta calculadora no incluye: soporte avanzado/onboarding de BitTitan, ni horas de consultoría/implementación de tu equipo o partner.</t>
  </si>
  <si>
    <t xml:space="preserve">• Confirma siempre el precio vigente y el modelo de licenciamiento actual directamente con BitTitan o un partner certificado antes de presupuestar.</t>
  </si>
  <si>
    <t xml:space="preserve">Fuente / Referencia</t>
  </si>
  <si>
    <t xml:space="preserve">BitTitan MigrationWiz — Pricing oficial (Mailbox $14, User Migration Bundle $17.50, Tenant Migration Bundle $57, Shared Documents $25/$48, AD-Entra ID SMB $6.25). Consultado agosto 2026.</t>
  </si>
  <si>
    <t xml:space="preserve">https://www.bittitan.com/pricing-bittitan-migrationwiz/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</si>
</sst>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2E74B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ittitan.com/pricing-bittitan-migrationwiz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3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1</v>
      </c>
      <c r="C2" s="2"/>
      <c r="D2" s="2"/>
      <c r="E2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5" t="s">
        <v>4</v>
      </c>
    </row>
    <row r="8" customFormat="false" ht="15" hidden="false" customHeight="true" outlineLevel="0" collapsed="false">
      <c r="B8" s="6" t="s">
        <v>5</v>
      </c>
      <c r="C8" s="6"/>
      <c r="D8" s="6"/>
      <c r="E8" s="6"/>
    </row>
    <row r="9" customFormat="false" ht="23.85" hidden="false" customHeight="false" outlineLevel="0" collapsed="false">
      <c r="B9" s="7" t="s">
        <v>6</v>
      </c>
      <c r="C9" s="7" t="s">
        <v>7</v>
      </c>
      <c r="D9" s="7" t="s">
        <v>8</v>
      </c>
      <c r="E9" s="7" t="s">
        <v>9</v>
      </c>
    </row>
    <row r="10" customFormat="false" ht="15" hidden="false" customHeight="false" outlineLevel="0" collapsed="false">
      <c r="B10" s="8" t="s">
        <v>10</v>
      </c>
      <c r="C10" s="9" t="n">
        <v>100</v>
      </c>
      <c r="D10" s="10" t="n">
        <v>57</v>
      </c>
      <c r="E10" s="11" t="n">
        <f aca="false">C10*D10</f>
        <v>5700</v>
      </c>
    </row>
    <row r="11" customFormat="false" ht="22.35" hidden="false" customHeight="true" outlineLevel="0" collapsed="false">
      <c r="B11" s="12" t="s">
        <v>11</v>
      </c>
      <c r="C11" s="12"/>
      <c r="D11" s="12"/>
      <c r="E11" s="12"/>
    </row>
    <row r="13" customFormat="false" ht="15" hidden="false" customHeight="true" outlineLevel="0" collapsed="false">
      <c r="B13" s="6" t="s">
        <v>12</v>
      </c>
      <c r="C13" s="6"/>
      <c r="D13" s="6"/>
      <c r="E13" s="6"/>
    </row>
    <row r="14" customFormat="false" ht="23.85" hidden="false" customHeight="false" outlineLevel="0" collapsed="false">
      <c r="B14" s="7" t="s">
        <v>13</v>
      </c>
      <c r="C14" s="7" t="s">
        <v>14</v>
      </c>
      <c r="D14" s="7" t="s">
        <v>8</v>
      </c>
      <c r="E14" s="7" t="s">
        <v>9</v>
      </c>
    </row>
    <row r="15" customFormat="false" ht="15" hidden="false" customHeight="false" outlineLevel="0" collapsed="false">
      <c r="B15" s="8" t="s">
        <v>15</v>
      </c>
      <c r="C15" s="9" t="n">
        <v>10</v>
      </c>
      <c r="D15" s="10" t="n">
        <v>25</v>
      </c>
      <c r="E15" s="11" t="n">
        <f aca="false">C15*D15</f>
        <v>250</v>
      </c>
    </row>
    <row r="16" customFormat="false" ht="15" hidden="false" customHeight="false" outlineLevel="0" collapsed="false">
      <c r="B16" s="8" t="s">
        <v>16</v>
      </c>
      <c r="C16" s="9" t="n">
        <v>7</v>
      </c>
      <c r="D16" s="10" t="n">
        <v>48</v>
      </c>
      <c r="E16" s="11" t="n">
        <f aca="false">C16*D16</f>
        <v>336</v>
      </c>
    </row>
    <row r="17" customFormat="false" ht="26.85" hidden="false" customHeight="false" outlineLevel="0" collapsed="false">
      <c r="B17" s="8" t="s">
        <v>17</v>
      </c>
      <c r="C17" s="9" t="n">
        <v>3</v>
      </c>
      <c r="D17" s="13"/>
      <c r="E17" s="13"/>
    </row>
    <row r="18" customFormat="false" ht="39.55" hidden="false" customHeight="false" outlineLevel="0" collapsed="false">
      <c r="B18" s="8" t="s">
        <v>18</v>
      </c>
      <c r="C18" s="9" t="n">
        <v>2</v>
      </c>
      <c r="D18" s="10" t="n">
        <v>48</v>
      </c>
      <c r="E18" s="11" t="n">
        <f aca="false">C17*C18*D18</f>
        <v>288</v>
      </c>
    </row>
    <row r="19" customFormat="false" ht="22.35" hidden="false" customHeight="true" outlineLevel="0" collapsed="false">
      <c r="B19" s="12" t="s">
        <v>19</v>
      </c>
      <c r="C19" s="12"/>
      <c r="D19" s="12"/>
      <c r="E19" s="12"/>
    </row>
    <row r="21" customFormat="false" ht="15" hidden="false" customHeight="true" outlineLevel="0" collapsed="false">
      <c r="B21" s="6" t="s">
        <v>20</v>
      </c>
      <c r="C21" s="6"/>
      <c r="D21" s="6"/>
      <c r="E21" s="6"/>
    </row>
    <row r="22" customFormat="false" ht="23.85" hidden="false" customHeight="false" outlineLevel="0" collapsed="false">
      <c r="B22" s="7" t="s">
        <v>6</v>
      </c>
      <c r="C22" s="7" t="s">
        <v>7</v>
      </c>
      <c r="D22" s="7" t="s">
        <v>8</v>
      </c>
      <c r="E22" s="7" t="s">
        <v>9</v>
      </c>
    </row>
    <row r="23" customFormat="false" ht="26.85" hidden="false" customHeight="false" outlineLevel="0" collapsed="false">
      <c r="B23" s="8" t="s">
        <v>21</v>
      </c>
      <c r="C23" s="9" t="n">
        <v>0</v>
      </c>
      <c r="D23" s="10" t="n">
        <v>6.25</v>
      </c>
      <c r="E23" s="11" t="n">
        <f aca="false">C23*D23</f>
        <v>0</v>
      </c>
    </row>
    <row r="25" customFormat="false" ht="15" hidden="false" customHeight="true" outlineLevel="0" collapsed="false">
      <c r="B25" s="14" t="s">
        <v>22</v>
      </c>
      <c r="C25" s="14"/>
      <c r="D25" s="14"/>
      <c r="E25" s="15" t="n">
        <f aca="false">E10+E15+E16+E18+E23</f>
        <v>6574</v>
      </c>
    </row>
    <row r="26" customFormat="false" ht="15" hidden="false" customHeight="true" outlineLevel="0" collapsed="false">
      <c r="B26" s="16" t="s">
        <v>23</v>
      </c>
      <c r="C26" s="16"/>
      <c r="D26" s="16"/>
      <c r="E26" s="17" t="n">
        <v>0.11</v>
      </c>
    </row>
    <row r="27" customFormat="false" ht="21.75" hidden="false" customHeight="true" outlineLevel="0" collapsed="false">
      <c r="B27" s="18" t="s">
        <v>24</v>
      </c>
      <c r="C27" s="18"/>
      <c r="D27" s="18"/>
      <c r="E27" s="19" t="n">
        <f aca="false">E25*(1-E26)</f>
        <v>5850.86</v>
      </c>
    </row>
    <row r="30" customFormat="false" ht="15" hidden="false" customHeight="true" outlineLevel="0" collapsed="false">
      <c r="B30" s="6" t="s">
        <v>25</v>
      </c>
      <c r="C30" s="6"/>
      <c r="D30" s="6"/>
      <c r="E30" s="6"/>
    </row>
    <row r="31" customFormat="false" ht="25.5" hidden="false" customHeight="true" outlineLevel="0" collapsed="false">
      <c r="B31" s="20" t="s">
        <v>26</v>
      </c>
      <c r="C31" s="20"/>
      <c r="D31" s="20"/>
      <c r="E31" s="20"/>
    </row>
    <row r="32" customFormat="false" ht="25.5" hidden="false" customHeight="true" outlineLevel="0" collapsed="false">
      <c r="B32" s="20" t="s">
        <v>27</v>
      </c>
      <c r="C32" s="20"/>
      <c r="D32" s="20"/>
      <c r="E32" s="20"/>
    </row>
    <row r="33" customFormat="false" ht="25.5" hidden="false" customHeight="true" outlineLevel="0" collapsed="false">
      <c r="B33" s="20" t="s">
        <v>28</v>
      </c>
      <c r="C33" s="20"/>
      <c r="D33" s="20"/>
      <c r="E33" s="20"/>
    </row>
    <row r="34" customFormat="false" ht="25.5" hidden="false" customHeight="true" outlineLevel="0" collapsed="false">
      <c r="B34" s="20" t="s">
        <v>29</v>
      </c>
      <c r="C34" s="20"/>
      <c r="D34" s="20"/>
      <c r="E34" s="20"/>
    </row>
    <row r="35" customFormat="false" ht="25.5" hidden="false" customHeight="true" outlineLevel="0" collapsed="false">
      <c r="B35" s="20" t="s">
        <v>30</v>
      </c>
      <c r="C35" s="20"/>
      <c r="D35" s="20"/>
      <c r="E35" s="20"/>
    </row>
    <row r="37" customFormat="false" ht="15" hidden="false" customHeight="true" outlineLevel="0" collapsed="false">
      <c r="B37" s="6" t="s">
        <v>31</v>
      </c>
      <c r="C37" s="6"/>
      <c r="D37" s="6"/>
      <c r="E37" s="6"/>
    </row>
    <row r="38" customFormat="false" ht="25.5" hidden="false" customHeight="true" outlineLevel="0" collapsed="false">
      <c r="B38" s="20" t="s">
        <v>32</v>
      </c>
      <c r="C38" s="20"/>
      <c r="D38" s="20"/>
      <c r="E38" s="20"/>
    </row>
    <row r="39" customFormat="false" ht="15" hidden="false" customHeight="true" outlineLevel="0" collapsed="false">
      <c r="B39" s="21" t="s">
        <v>33</v>
      </c>
      <c r="C39" s="21"/>
      <c r="D39" s="21"/>
      <c r="E39" s="21"/>
    </row>
  </sheetData>
  <mergeCells count="19">
    <mergeCell ref="B1:E1"/>
    <mergeCell ref="B2:E2"/>
    <mergeCell ref="B8:E8"/>
    <mergeCell ref="B11:E11"/>
    <mergeCell ref="B13:E13"/>
    <mergeCell ref="B19:E19"/>
    <mergeCell ref="B21:E21"/>
    <mergeCell ref="B25:D25"/>
    <mergeCell ref="B26:D26"/>
    <mergeCell ref="B27:D27"/>
    <mergeCell ref="B30:E30"/>
    <mergeCell ref="B31:E31"/>
    <mergeCell ref="B32:E32"/>
    <mergeCell ref="B33:E33"/>
    <mergeCell ref="B34:E34"/>
    <mergeCell ref="B35:E35"/>
    <mergeCell ref="B37:E37"/>
    <mergeCell ref="B38:E38"/>
    <mergeCell ref="B39:E39"/>
  </mergeCells>
  <hyperlinks>
    <hyperlink ref="B39" r:id="rId1" display="https://www.bittitan.com/pricing-bittitan-migrationwiz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2026-08-13T05:39:04Z</dcterms:created>
  <dc:creator>openpyxl</dc:creator>
  <dc:description/>
  <dc:language>en-US</dc:language>
  <cp:lastModifiedBy/>
  <dcterms:modified xsi:type="dcterms:W3CDTF">2026-08-13T05:39:04Z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