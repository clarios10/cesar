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ncretoslasilla626-my.sharepoint.com/personal/sistemas_concretoslasilla626_onmicrosoft_com/Documents/Sistemas/Bitacora/GerPlan/Proyectos/Proyecto M365/AWS/"/>
    </mc:Choice>
  </mc:AlternateContent>
  <xr:revisionPtr revIDLastSave="2" documentId="8_{AE7AD028-C7CA-49BA-97AD-D35C9906D465}" xr6:coauthVersionLast="47" xr6:coauthVersionMax="47" xr10:uidLastSave="{68335587-74A7-45F7-AF3E-5326AD5F7279}"/>
  <bookViews>
    <workbookView xWindow="-108" yWindow="-108" windowWidth="23256" windowHeight="12456" activeTab="1" xr2:uid="{00000000-000D-0000-FFFF-FFFF00000000}"/>
  </bookViews>
  <sheets>
    <sheet name="Presupuesto" sheetId="11" r:id="rId1"/>
    <sheet name="Consumo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41" i="12" l="1"/>
  <c r="BE41" i="12" s="1"/>
  <c r="BD36" i="12"/>
  <c r="BE36" i="12" s="1"/>
  <c r="BA11" i="12"/>
  <c r="BA14" i="12" s="1"/>
  <c r="BD29" i="12"/>
  <c r="BE29" i="12" s="1"/>
  <c r="BB3" i="12"/>
  <c r="BD3" i="12"/>
  <c r="BB4" i="12"/>
  <c r="BD4" i="12"/>
  <c r="BE4" i="12"/>
  <c r="BF4" i="12"/>
  <c r="BB5" i="12"/>
  <c r="BE5" i="12" s="1"/>
  <c r="BD5" i="12"/>
  <c r="BF5" i="12" s="1"/>
  <c r="BB6" i="12"/>
  <c r="BD6" i="12"/>
  <c r="BB7" i="12"/>
  <c r="BD7" i="12"/>
  <c r="BE7" i="12"/>
  <c r="BF7" i="12"/>
  <c r="BB8" i="12"/>
  <c r="BE8" i="12" s="1"/>
  <c r="BD8" i="12"/>
  <c r="BB9" i="12"/>
  <c r="BD9" i="12"/>
  <c r="BE9" i="12"/>
  <c r="BF9" i="12"/>
  <c r="BB10" i="12"/>
  <c r="BD10" i="12"/>
  <c r="BE10" i="12"/>
  <c r="BF10" i="12"/>
  <c r="BD11" i="12"/>
  <c r="BB12" i="12"/>
  <c r="BD12" i="12"/>
  <c r="BF12" i="12" s="1"/>
  <c r="BE12" i="12"/>
  <c r="BB13" i="12"/>
  <c r="BD13" i="12"/>
  <c r="BE13" i="12"/>
  <c r="BF13" i="12"/>
  <c r="AZ14" i="12"/>
  <c r="BC14" i="12"/>
  <c r="BE20" i="12"/>
  <c r="BE22" i="12"/>
  <c r="BE23" i="12"/>
  <c r="BE24" i="12"/>
  <c r="BE25" i="12"/>
  <c r="BE26" i="12"/>
  <c r="BE27" i="12"/>
  <c r="BE28" i="12"/>
  <c r="BE30" i="12"/>
  <c r="BE31" i="12"/>
  <c r="BE32" i="12"/>
  <c r="BE33" i="12"/>
  <c r="BE34" i="12"/>
  <c r="BE35" i="12"/>
  <c r="BE37" i="12"/>
  <c r="BE38" i="12"/>
  <c r="BE39" i="12"/>
  <c r="BE40" i="12"/>
  <c r="BE43" i="12"/>
  <c r="AX43" i="12"/>
  <c r="AQ43" i="12"/>
  <c r="AX40" i="12"/>
  <c r="AW41" i="12"/>
  <c r="AX41" i="12" s="1"/>
  <c r="AW36" i="12"/>
  <c r="AX36" i="12" s="1"/>
  <c r="AU11" i="12"/>
  <c r="AX11" i="12" s="1"/>
  <c r="AY11" i="12" s="1"/>
  <c r="AN11" i="12"/>
  <c r="AU3" i="12"/>
  <c r="AW3" i="12"/>
  <c r="AU4" i="12"/>
  <c r="AW4" i="12"/>
  <c r="AX4" i="12"/>
  <c r="AY4" i="12"/>
  <c r="AU5" i="12"/>
  <c r="AW5" i="12"/>
  <c r="AX5" i="12"/>
  <c r="AY5" i="12"/>
  <c r="AU6" i="12"/>
  <c r="AW6" i="12"/>
  <c r="AX6" i="12"/>
  <c r="AY6" i="12" s="1"/>
  <c r="AU7" i="12"/>
  <c r="AW7" i="12"/>
  <c r="AX7" i="12"/>
  <c r="AY7" i="12"/>
  <c r="AU8" i="12"/>
  <c r="AW8" i="12"/>
  <c r="AX8" i="12"/>
  <c r="AY8" i="12"/>
  <c r="AU9" i="12"/>
  <c r="AW9" i="12"/>
  <c r="AX9" i="12"/>
  <c r="AY9" i="12"/>
  <c r="AU10" i="12"/>
  <c r="AW10" i="12"/>
  <c r="AX10" i="12"/>
  <c r="AY10" i="12"/>
  <c r="AW11" i="12"/>
  <c r="AU12" i="12"/>
  <c r="AW12" i="12"/>
  <c r="AU13" i="12"/>
  <c r="AW13" i="12"/>
  <c r="AX13" i="12"/>
  <c r="AY13" i="12"/>
  <c r="AS14" i="12"/>
  <c r="AT14" i="12"/>
  <c r="AV14" i="12"/>
  <c r="AX20" i="12"/>
  <c r="AX22" i="12"/>
  <c r="AX23" i="12"/>
  <c r="AX24" i="12"/>
  <c r="AX25" i="12"/>
  <c r="AX26" i="12"/>
  <c r="AX27" i="12"/>
  <c r="AX28" i="12"/>
  <c r="AX29" i="12"/>
  <c r="AX30" i="12"/>
  <c r="AX31" i="12"/>
  <c r="AX32" i="12"/>
  <c r="AX33" i="12"/>
  <c r="AX34" i="12"/>
  <c r="AX35" i="12"/>
  <c r="AX37" i="12"/>
  <c r="AX38" i="12"/>
  <c r="AX39" i="12"/>
  <c r="AQ45" i="12"/>
  <c r="AQ41" i="12"/>
  <c r="AQ40" i="12"/>
  <c r="AQ38" i="12"/>
  <c r="AQ39" i="12"/>
  <c r="AQ36" i="12"/>
  <c r="AP36" i="12"/>
  <c r="AQ35" i="12"/>
  <c r="AQ34" i="12"/>
  <c r="AQ33" i="12"/>
  <c r="AQ32" i="12"/>
  <c r="AQ31" i="12"/>
  <c r="AQ27" i="12"/>
  <c r="AQ28" i="12"/>
  <c r="AQ23" i="12"/>
  <c r="AQ24" i="12"/>
  <c r="AQ22" i="12"/>
  <c r="AQ26" i="12"/>
  <c r="AQ29" i="12"/>
  <c r="AQ25" i="12"/>
  <c r="AP13" i="12"/>
  <c r="AN13" i="12"/>
  <c r="AN12" i="12"/>
  <c r="AP12" i="12"/>
  <c r="AP11" i="12"/>
  <c r="AP10" i="12"/>
  <c r="AR10" i="12" s="1"/>
  <c r="AN10" i="12"/>
  <c r="AP9" i="12"/>
  <c r="AR9" i="12" s="1"/>
  <c r="AN9" i="12"/>
  <c r="AN8" i="12"/>
  <c r="AP8" i="12"/>
  <c r="AP7" i="12"/>
  <c r="AR7" i="12" s="1"/>
  <c r="AN7" i="12"/>
  <c r="AN6" i="12"/>
  <c r="AP6" i="12"/>
  <c r="AP5" i="12"/>
  <c r="AN5" i="12"/>
  <c r="AP3" i="12"/>
  <c r="AN3" i="12"/>
  <c r="AQ30" i="12"/>
  <c r="AK19" i="12"/>
  <c r="AQ37" i="12"/>
  <c r="AQ20" i="12"/>
  <c r="AO14" i="12"/>
  <c r="AM14" i="12"/>
  <c r="AL14" i="12"/>
  <c r="BD14" i="12" l="1"/>
  <c r="BB11" i="12"/>
  <c r="BE11" i="12" s="1"/>
  <c r="BF11" i="12" s="1"/>
  <c r="BE6" i="12"/>
  <c r="BF6" i="12" s="1"/>
  <c r="BE3" i="12"/>
  <c r="BE45" i="12"/>
  <c r="BF8" i="12"/>
  <c r="AX12" i="12"/>
  <c r="AX14" i="12" s="1"/>
  <c r="AX21" i="12" s="1"/>
  <c r="AW14" i="12"/>
  <c r="AX3" i="12"/>
  <c r="AY3" i="12" s="1"/>
  <c r="AX45" i="12"/>
  <c r="AU14" i="12"/>
  <c r="AQ9" i="12"/>
  <c r="AQ6" i="12"/>
  <c r="AR6" i="12" s="1"/>
  <c r="AQ11" i="12"/>
  <c r="AQ8" i="12"/>
  <c r="AR8" i="12" s="1"/>
  <c r="AQ3" i="12"/>
  <c r="AQ13" i="12"/>
  <c r="AR13" i="12" s="1"/>
  <c r="AH25" i="12"/>
  <c r="AG9" i="12"/>
  <c r="BE14" i="12" l="1"/>
  <c r="BE21" i="12" s="1"/>
  <c r="BE46" i="12" s="1"/>
  <c r="BB14" i="12"/>
  <c r="BF3" i="12"/>
  <c r="AY12" i="12"/>
  <c r="AX46" i="12"/>
  <c r="AY14" i="12"/>
  <c r="AR3" i="12"/>
  <c r="AR11" i="12"/>
  <c r="M14" i="12"/>
  <c r="K14" i="12"/>
  <c r="J14" i="12"/>
  <c r="F14" i="12"/>
  <c r="D14" i="12"/>
  <c r="C14" i="12"/>
  <c r="Q14" i="12"/>
  <c r="X14" i="12"/>
  <c r="R14" i="12"/>
  <c r="AE14" i="12"/>
  <c r="AF14" i="12"/>
  <c r="T14" i="12"/>
  <c r="AA14" i="12"/>
  <c r="AH14" i="12"/>
  <c r="AX48" i="12" l="1"/>
  <c r="AX49" i="12" s="1"/>
  <c r="AX50" i="12" s="1"/>
  <c r="BE48" i="12"/>
  <c r="BE49" i="12" s="1"/>
  <c r="BE50" i="12" s="1"/>
  <c r="BF14" i="12"/>
  <c r="AJ43" i="12"/>
  <c r="AJ42" i="12"/>
  <c r="AJ40" i="12"/>
  <c r="AI41" i="12"/>
  <c r="AJ41" i="12" s="1"/>
  <c r="AJ38" i="12"/>
  <c r="AJ37" i="12"/>
  <c r="AJ39" i="12"/>
  <c r="AJ36" i="12"/>
  <c r="AJ35" i="12"/>
  <c r="AJ34" i="12"/>
  <c r="AJ33" i="12"/>
  <c r="AJ32" i="12"/>
  <c r="AJ31" i="12"/>
  <c r="AJ30" i="12"/>
  <c r="AJ29" i="12"/>
  <c r="AJ28" i="12"/>
  <c r="AJ26" i="12"/>
  <c r="AJ27" i="12"/>
  <c r="AJ25" i="12"/>
  <c r="AJ24" i="12"/>
  <c r="AJ23" i="12"/>
  <c r="AJ22" i="12"/>
  <c r="AJ20" i="12"/>
  <c r="AC20" i="12"/>
  <c r="V20" i="12"/>
  <c r="O20" i="12"/>
  <c r="H20" i="12"/>
  <c r="AG11" i="12"/>
  <c r="AG6" i="12"/>
  <c r="AG13" i="12"/>
  <c r="AI13" i="12"/>
  <c r="S13" i="12"/>
  <c r="AI12" i="12"/>
  <c r="AI11" i="12"/>
  <c r="AI10" i="12"/>
  <c r="AI9" i="12"/>
  <c r="AI8" i="12"/>
  <c r="AI7" i="12"/>
  <c r="AI6" i="12"/>
  <c r="AI5" i="12"/>
  <c r="AI3" i="12"/>
  <c r="AG12" i="12"/>
  <c r="AG10" i="12"/>
  <c r="AG8" i="12"/>
  <c r="AG7" i="12"/>
  <c r="AG5" i="12"/>
  <c r="AG3" i="12"/>
  <c r="AJ13" i="12" l="1"/>
  <c r="AK13" i="12"/>
  <c r="AJ45" i="12"/>
  <c r="AJ10" i="12"/>
  <c r="AK10" i="12" s="1"/>
  <c r="AI14" i="12"/>
  <c r="AJ8" i="12"/>
  <c r="AK8" i="12" s="1"/>
  <c r="AJ6" i="12"/>
  <c r="AK6" i="12" s="1"/>
  <c r="AG14" i="12"/>
  <c r="AJ5" i="12"/>
  <c r="AK5" i="12" s="1"/>
  <c r="AJ9" i="12"/>
  <c r="AJ12" i="12"/>
  <c r="AK12" i="12" s="1"/>
  <c r="AJ7" i="12"/>
  <c r="AJ11" i="12"/>
  <c r="AJ3" i="12"/>
  <c r="Q27" i="11"/>
  <c r="R27" i="11" s="1"/>
  <c r="R28" i="11"/>
  <c r="R25" i="11"/>
  <c r="R24" i="11"/>
  <c r="R23" i="11"/>
  <c r="R22" i="11"/>
  <c r="R21" i="11"/>
  <c r="R20" i="11"/>
  <c r="R19" i="11"/>
  <c r="R18" i="11"/>
  <c r="R17" i="11"/>
  <c r="R16" i="11"/>
  <c r="R15" i="11"/>
  <c r="R14" i="11"/>
  <c r="R13" i="11"/>
  <c r="R11" i="11"/>
  <c r="Q26" i="11"/>
  <c r="R26" i="11" s="1"/>
  <c r="Q12" i="11"/>
  <c r="R12" i="11" s="1"/>
  <c r="Q7" i="11"/>
  <c r="Q6" i="11"/>
  <c r="Q5" i="11"/>
  <c r="N7" i="11"/>
  <c r="N6" i="11"/>
  <c r="N5" i="11"/>
  <c r="M5" i="11"/>
  <c r="M6" i="11"/>
  <c r="M7" i="11"/>
  <c r="K9" i="11"/>
  <c r="M9" i="11" s="1"/>
  <c r="N9" i="11" s="1"/>
  <c r="Q9" i="11"/>
  <c r="Q8" i="11"/>
  <c r="K8" i="11"/>
  <c r="M8" i="11" s="1"/>
  <c r="N8" i="11" s="1"/>
  <c r="Q4" i="11"/>
  <c r="M3" i="11"/>
  <c r="N3" i="11" s="1"/>
  <c r="H41" i="12"/>
  <c r="H40" i="12"/>
  <c r="H39" i="12"/>
  <c r="H38" i="12"/>
  <c r="H37" i="12"/>
  <c r="H35" i="12"/>
  <c r="H36" i="12"/>
  <c r="H34" i="12"/>
  <c r="H33" i="12"/>
  <c r="H32" i="12"/>
  <c r="H31" i="12"/>
  <c r="H30" i="12"/>
  <c r="H29" i="12"/>
  <c r="H28" i="12"/>
  <c r="H27" i="12"/>
  <c r="H25" i="12"/>
  <c r="H24" i="12"/>
  <c r="H22" i="12"/>
  <c r="E12" i="12"/>
  <c r="G12" i="12"/>
  <c r="E10" i="12"/>
  <c r="G10" i="12"/>
  <c r="G7" i="12"/>
  <c r="E7" i="12"/>
  <c r="B4" i="12"/>
  <c r="E5" i="12"/>
  <c r="G5" i="12"/>
  <c r="AC42" i="12"/>
  <c r="AB41" i="12"/>
  <c r="AC41" i="12" s="1"/>
  <c r="AC40" i="12"/>
  <c r="AC39" i="12"/>
  <c r="AC38" i="12"/>
  <c r="AC37" i="12"/>
  <c r="AC36" i="12"/>
  <c r="AC35" i="12"/>
  <c r="AC34" i="12"/>
  <c r="AC33" i="12"/>
  <c r="AC32" i="12"/>
  <c r="AC31" i="12"/>
  <c r="AC30" i="12"/>
  <c r="AC29" i="12"/>
  <c r="AC28" i="12"/>
  <c r="V28" i="12"/>
  <c r="AB27" i="12"/>
  <c r="AC27" i="12" s="1"/>
  <c r="AC26" i="12"/>
  <c r="AC25" i="12"/>
  <c r="AC24" i="12"/>
  <c r="AC23" i="12"/>
  <c r="AC22" i="12"/>
  <c r="AB12" i="12"/>
  <c r="Y11" i="12"/>
  <c r="Y14" i="12" s="1"/>
  <c r="V42" i="12"/>
  <c r="V41" i="12"/>
  <c r="V40" i="12"/>
  <c r="V39" i="12"/>
  <c r="V38" i="12"/>
  <c r="V37" i="12"/>
  <c r="V36" i="12"/>
  <c r="V35" i="12"/>
  <c r="V34" i="12"/>
  <c r="V26" i="12"/>
  <c r="V33" i="12"/>
  <c r="V32" i="12"/>
  <c r="V31" i="12"/>
  <c r="V30" i="12"/>
  <c r="V29" i="12"/>
  <c r="U27" i="12"/>
  <c r="V27" i="12" s="1"/>
  <c r="V25" i="12"/>
  <c r="V24" i="12"/>
  <c r="V23" i="12"/>
  <c r="V22" i="12"/>
  <c r="G4" i="12" l="1"/>
  <c r="G14" i="12" s="1"/>
  <c r="AP4" i="12"/>
  <c r="AR4" i="12" s="1"/>
  <c r="AN4" i="12"/>
  <c r="AJ14" i="12"/>
  <c r="AK3" i="12"/>
  <c r="R29" i="11"/>
  <c r="R7" i="11"/>
  <c r="R8" i="11"/>
  <c r="R5" i="11"/>
  <c r="R6" i="11"/>
  <c r="R9" i="11"/>
  <c r="AC45" i="12"/>
  <c r="V45" i="12"/>
  <c r="H45" i="12"/>
  <c r="H10" i="12"/>
  <c r="I10" i="12" s="1"/>
  <c r="H7" i="12"/>
  <c r="I7" i="12" s="1"/>
  <c r="H12" i="12"/>
  <c r="I12" i="12" s="1"/>
  <c r="H5" i="12"/>
  <c r="I5" i="12" s="1"/>
  <c r="E4" i="12"/>
  <c r="E14" i="12" s="1"/>
  <c r="AQ4" i="12" l="1"/>
  <c r="AQ12" i="12"/>
  <c r="AQ7" i="12"/>
  <c r="AJ21" i="12"/>
  <c r="AJ46" i="12" s="1"/>
  <c r="AJ48" i="12" s="1"/>
  <c r="AJ49" i="12" s="1"/>
  <c r="AJ50" i="12" s="1"/>
  <c r="AK14" i="12"/>
  <c r="H4" i="12"/>
  <c r="H14" i="12" s="1"/>
  <c r="H21" i="12" s="1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N27" i="12"/>
  <c r="O27" i="12" s="1"/>
  <c r="O26" i="12"/>
  <c r="O25" i="12"/>
  <c r="O24" i="12"/>
  <c r="O23" i="12"/>
  <c r="O22" i="12"/>
  <c r="O42" i="12"/>
  <c r="Z12" i="12"/>
  <c r="AC12" i="12" s="1"/>
  <c r="AD12" i="12" s="1"/>
  <c r="U12" i="12"/>
  <c r="S12" i="12"/>
  <c r="N12" i="12"/>
  <c r="L12" i="12"/>
  <c r="AB11" i="12"/>
  <c r="Z11" i="12"/>
  <c r="U11" i="12"/>
  <c r="S11" i="12"/>
  <c r="L11" i="12"/>
  <c r="AB10" i="12"/>
  <c r="Z10" i="12"/>
  <c r="U10" i="12"/>
  <c r="S10" i="12"/>
  <c r="N10" i="12"/>
  <c r="L10" i="12"/>
  <c r="AB9" i="12"/>
  <c r="Z9" i="12"/>
  <c r="U9" i="12"/>
  <c r="S9" i="12"/>
  <c r="N9" i="12"/>
  <c r="L9" i="12"/>
  <c r="AB8" i="12"/>
  <c r="Z8" i="12"/>
  <c r="U8" i="12"/>
  <c r="S8" i="12"/>
  <c r="N8" i="12"/>
  <c r="L8" i="12"/>
  <c r="AB7" i="12"/>
  <c r="Z7" i="12"/>
  <c r="U7" i="12"/>
  <c r="S7" i="12"/>
  <c r="L7" i="12"/>
  <c r="AB6" i="12"/>
  <c r="Z6" i="12"/>
  <c r="U6" i="12"/>
  <c r="S6" i="12"/>
  <c r="N6" i="12"/>
  <c r="L6" i="12"/>
  <c r="AB5" i="12"/>
  <c r="Z5" i="12"/>
  <c r="U5" i="12"/>
  <c r="S5" i="12"/>
  <c r="N5" i="12"/>
  <c r="L5" i="12"/>
  <c r="AB3" i="12"/>
  <c r="Z3" i="12"/>
  <c r="U3" i="12"/>
  <c r="S3" i="12"/>
  <c r="N3" i="12"/>
  <c r="L3" i="12"/>
  <c r="AR12" i="12" l="1"/>
  <c r="AQ10" i="12"/>
  <c r="AQ5" i="12"/>
  <c r="AN14" i="12"/>
  <c r="AP14" i="12"/>
  <c r="U14" i="12"/>
  <c r="V3" i="12"/>
  <c r="W3" i="12" s="1"/>
  <c r="S14" i="12"/>
  <c r="AB14" i="12"/>
  <c r="Z14" i="12"/>
  <c r="L14" i="12"/>
  <c r="N14" i="12"/>
  <c r="V8" i="12"/>
  <c r="W8" i="12" s="1"/>
  <c r="V10" i="12"/>
  <c r="W10" i="12" s="1"/>
  <c r="O45" i="12"/>
  <c r="I4" i="12"/>
  <c r="V7" i="12"/>
  <c r="V6" i="12"/>
  <c r="W6" i="12" s="1"/>
  <c r="V5" i="12"/>
  <c r="W5" i="12" s="1"/>
  <c r="V9" i="12"/>
  <c r="W9" i="12" s="1"/>
  <c r="AC11" i="12"/>
  <c r="AC9" i="12"/>
  <c r="AD9" i="12" s="1"/>
  <c r="AC8" i="12"/>
  <c r="AD8" i="12" s="1"/>
  <c r="AC7" i="12"/>
  <c r="V12" i="12"/>
  <c r="W12" i="12" s="1"/>
  <c r="V11" i="12"/>
  <c r="AC10" i="12"/>
  <c r="AD10" i="12" s="1"/>
  <c r="AC6" i="12"/>
  <c r="AD6" i="12" s="1"/>
  <c r="O9" i="12"/>
  <c r="P9" i="12" s="1"/>
  <c r="O8" i="12"/>
  <c r="P8" i="12" s="1"/>
  <c r="O10" i="12"/>
  <c r="P10" i="12" s="1"/>
  <c r="AC5" i="12"/>
  <c r="AD5" i="12" s="1"/>
  <c r="O6" i="12"/>
  <c r="P6" i="12" s="1"/>
  <c r="O5" i="12"/>
  <c r="P5" i="12" s="1"/>
  <c r="O3" i="12"/>
  <c r="O12" i="12"/>
  <c r="P12" i="12" s="1"/>
  <c r="AC3" i="12"/>
  <c r="AR5" i="12" l="1"/>
  <c r="AQ14" i="12"/>
  <c r="P3" i="12"/>
  <c r="O14" i="12"/>
  <c r="AC14" i="12"/>
  <c r="V14" i="12"/>
  <c r="H46" i="12"/>
  <c r="H48" i="12" s="1"/>
  <c r="I14" i="12"/>
  <c r="AD3" i="12"/>
  <c r="AQ21" i="12" l="1"/>
  <c r="AR14" i="12"/>
  <c r="V21" i="12"/>
  <c r="V46" i="12" s="1"/>
  <c r="V48" i="12" s="1"/>
  <c r="V49" i="12" s="1"/>
  <c r="V50" i="12" s="1"/>
  <c r="AC21" i="12"/>
  <c r="AC46" i="12" s="1"/>
  <c r="AC48" i="12" s="1"/>
  <c r="AC49" i="12" s="1"/>
  <c r="AC50" i="12" s="1"/>
  <c r="O21" i="12"/>
  <c r="O46" i="12" s="1"/>
  <c r="O48" i="12" s="1"/>
  <c r="O49" i="12" s="1"/>
  <c r="O50" i="12" s="1"/>
  <c r="H49" i="12"/>
  <c r="H50" i="12" s="1"/>
  <c r="W14" i="12"/>
  <c r="AD14" i="12"/>
  <c r="P14" i="12"/>
  <c r="Q3" i="11"/>
  <c r="R3" i="11" s="1"/>
  <c r="AQ46" i="12" l="1"/>
  <c r="N4" i="11"/>
  <c r="R4" i="11" s="1"/>
  <c r="M4" i="11"/>
  <c r="AQ48" i="12" l="1"/>
  <c r="AQ49" i="12" s="1"/>
  <c r="AQ50" i="12" s="1"/>
  <c r="R10" i="11"/>
  <c r="R30" i="11" s="1"/>
  <c r="R3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Sistemas</author>
  </authors>
  <commentList>
    <comment ref="AJ27" authorId="0" shapeId="0" xr:uid="{BA0F702D-70DD-4482-BE0B-DD96DD0EBBDB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Validar formula</t>
        </r>
      </text>
    </comment>
    <comment ref="AQ27" authorId="0" shapeId="0" xr:uid="{6CD9D51E-0D32-47A8-8358-AB9A47378F68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Validar formula</t>
        </r>
      </text>
    </comment>
    <comment ref="AX27" authorId="0" shapeId="0" xr:uid="{909A4585-525B-4B6F-8061-CFE23614C4DB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Validar formula</t>
        </r>
      </text>
    </comment>
    <comment ref="BE27" authorId="0" shapeId="0" xr:uid="{D7716574-89D0-442A-AFF4-0A375C64DA6B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Validar formula</t>
        </r>
      </text>
    </comment>
    <comment ref="AJ40" authorId="0" shapeId="0" xr:uid="{A19F5B14-E9EA-476F-B601-9DA476401D76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Aumento de $0.1 a $0.5 usd
</t>
        </r>
      </text>
    </comment>
    <comment ref="AQ40" authorId="0" shapeId="0" xr:uid="{013A6991-E2D2-43BA-B72F-9CC5B6514CCC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Aumento de $0.1 a $0.5 usd
</t>
        </r>
      </text>
    </comment>
    <comment ref="AX40" authorId="0" shapeId="0" xr:uid="{19291F6B-80E8-4F85-B1C5-5C4CEA9404A2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Aumento de $0.1 a $0.5 usd
</t>
        </r>
      </text>
    </comment>
    <comment ref="BE40" authorId="0" shapeId="0" xr:uid="{F5A7C8C7-1A69-4F7C-B253-BC268817373F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Aumento de $0.1 a $0.5 usd
</t>
        </r>
      </text>
    </comment>
    <comment ref="AQ42" authorId="0" shapeId="0" xr:uid="{B1D6A70A-17F7-4ECD-A970-0E69C8641DE7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cambio precio de .51 a 0</t>
        </r>
      </text>
    </comment>
    <comment ref="AQ43" authorId="0" shapeId="0" xr:uid="{9FDAB630-16DB-4450-A113-210B73B34E7E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Cambio precio de .43 a 0
</t>
        </r>
      </text>
    </comment>
  </commentList>
</comments>
</file>

<file path=xl/sharedStrings.xml><?xml version="1.0" encoding="utf-8"?>
<sst xmlns="http://schemas.openxmlformats.org/spreadsheetml/2006/main" count="187" uniqueCount="102">
  <si>
    <t>CONFIGURACION LANDSCAPE AL CONCLUIR FASE ESTABILIZACION MIGRACION 2023</t>
  </si>
  <si>
    <t>MOD PRECIO</t>
  </si>
  <si>
    <t>INSTANCIA</t>
  </si>
  <si>
    <t>FAMILIA</t>
  </si>
  <si>
    <t>vCPU</t>
  </si>
  <si>
    <t>RAM</t>
  </si>
  <si>
    <t>GB</t>
  </si>
  <si>
    <t>SO</t>
  </si>
  <si>
    <t>PROCESADOR</t>
  </si>
  <si>
    <t>NUC</t>
  </si>
  <si>
    <t>HRS</t>
  </si>
  <si>
    <t>COSTO/HR INST</t>
  </si>
  <si>
    <t>COSTO/HR SO</t>
  </si>
  <si>
    <t>COSTO TOT</t>
  </si>
  <si>
    <t>COSTO/GB</t>
  </si>
  <si>
    <t>EBS</t>
  </si>
  <si>
    <t>TOTAL USD MES</t>
  </si>
  <si>
    <t>RESERVA</t>
  </si>
  <si>
    <t>N-HANA-PRO - Tag: Productivo</t>
  </si>
  <si>
    <t>r6i.12xlarge</t>
  </si>
  <si>
    <t>SUSE LINUX 15 SP5</t>
  </si>
  <si>
    <t>Intel Xeon 8375C (Ice Lake)</t>
  </si>
  <si>
    <t>N-APS-PRO – Tag: Productivo</t>
  </si>
  <si>
    <t>r6i.4xlarge</t>
  </si>
  <si>
    <t>WINDOWS SERVER 2023</t>
  </si>
  <si>
    <t>MIDDLEWARE - DEV/QA</t>
  </si>
  <si>
    <t>t3.large</t>
  </si>
  <si>
    <t>WINDOWS 2012</t>
  </si>
  <si>
    <t>Intel Xeon Family 3.3 Ghz</t>
  </si>
  <si>
    <t>SOLMAN</t>
  </si>
  <si>
    <t>r5.2xlarge</t>
  </si>
  <si>
    <t>WINDOWS 2016</t>
  </si>
  <si>
    <t>Intel Xeon Platinum 8175 3.1 Ghz</t>
  </si>
  <si>
    <t>NOMIPLUS TA.NET</t>
  </si>
  <si>
    <t>m4.large</t>
  </si>
  <si>
    <t>Intel Xeon E5-2676 v3 (Haswell) 2.4 Ghz</t>
  </si>
  <si>
    <t>DEMANDA</t>
  </si>
  <si>
    <t>N-HANA-DEV/QA</t>
  </si>
  <si>
    <t>N-APS – Tag: DEV/QA</t>
  </si>
  <si>
    <t>TOTAL INSTANCIAS y  ALMACENAMIENTO</t>
  </si>
  <si>
    <t>IOPs</t>
  </si>
  <si>
    <t>MiBps</t>
  </si>
  <si>
    <t>Snapshot</t>
  </si>
  <si>
    <t>Nat Gatwy GB</t>
  </si>
  <si>
    <t>Nat Gatwy Hour</t>
  </si>
  <si>
    <t>VPN</t>
  </si>
  <si>
    <t>EIP idle</t>
  </si>
  <si>
    <t>EIP inuse</t>
  </si>
  <si>
    <t>Cloud Wtch Req</t>
  </si>
  <si>
    <t>Cloud Wtch Alarm</t>
  </si>
  <si>
    <t>Cloud Wtch Req f10k</t>
  </si>
  <si>
    <t>Bdnwith</t>
  </si>
  <si>
    <t>Bdnwith f10TB</t>
  </si>
  <si>
    <t>Workmail</t>
  </si>
  <si>
    <t>Route 53 Host</t>
  </si>
  <si>
    <t>Route 53 Qrys fM</t>
  </si>
  <si>
    <t>Web Services</t>
  </si>
  <si>
    <t>Renew Domain</t>
  </si>
  <si>
    <t>TOTAL SERVICIOS</t>
  </si>
  <si>
    <t>TOTAL USD</t>
  </si>
  <si>
    <t>SERVICIOS ADMINISTRADOS</t>
  </si>
  <si>
    <t>TOTAL</t>
  </si>
  <si>
    <t>Instancia/Servicio</t>
  </si>
  <si>
    <t>Precio Hr</t>
  </si>
  <si>
    <t>Hr Compute Saving</t>
  </si>
  <si>
    <t>Hr Ec2 Savings</t>
  </si>
  <si>
    <t xml:space="preserve"> Savings</t>
  </si>
  <si>
    <t>Hrs Dem</t>
  </si>
  <si>
    <t>Demanda</t>
  </si>
  <si>
    <t>Neto</t>
  </si>
  <si>
    <t>%A</t>
  </si>
  <si>
    <t>%Ahorro</t>
  </si>
  <si>
    <t>linux/unix</t>
  </si>
  <si>
    <t>t2.large</t>
  </si>
  <si>
    <t>r4.8xlarge</t>
  </si>
  <si>
    <t>suse/linux</t>
  </si>
  <si>
    <t>windows</t>
  </si>
  <si>
    <t>t3.xlarge</t>
  </si>
  <si>
    <t>r6i.2xlarge</t>
  </si>
  <si>
    <t>r4.2x large</t>
  </si>
  <si>
    <t>windows + sql</t>
  </si>
  <si>
    <t>r6i.xlarge</t>
  </si>
  <si>
    <t>SubTotal Instancias</t>
  </si>
  <si>
    <t>Commit Sav Plans</t>
  </si>
  <si>
    <t>1 year</t>
  </si>
  <si>
    <t>EC2 Sav Plan r5</t>
  </si>
  <si>
    <t>EC2 Sav Plan t3</t>
  </si>
  <si>
    <t>EC2 Sav Plan m4</t>
  </si>
  <si>
    <t>EC2 Sav Plan r6i</t>
  </si>
  <si>
    <t>SubTotal Sav Plan</t>
  </si>
  <si>
    <t>Subotal Instancias</t>
  </si>
  <si>
    <t>EBS sc1</t>
  </si>
  <si>
    <t>EBS st1</t>
  </si>
  <si>
    <t>EBS gp3</t>
  </si>
  <si>
    <t>EBS gp2</t>
  </si>
  <si>
    <t>Web Services Mrktplace r6i.12xl</t>
  </si>
  <si>
    <t>Web Services Mrktplace r6i.xl</t>
  </si>
  <si>
    <t>Subtotal Servicios</t>
  </si>
  <si>
    <t xml:space="preserve">Subtotal AWS </t>
  </si>
  <si>
    <t>Servicios Administrados</t>
  </si>
  <si>
    <t xml:space="preserve">Subtotal 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</si>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</sst>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.000"/>
    <numFmt numFmtId="166" formatCode="&quot;$&quot;#,##0.0000"/>
    <numFmt numFmtId="167" formatCode="#,##0.0000"/>
    <numFmt numFmtId="168" formatCode="&quot;$&quot;#,##0.000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__Inter_aaf875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000000"/>
      <name val="__Inter_aaf875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18" fillId="0" borderId="10" xfId="0" applyFont="1" applyBorder="1"/>
    <xf numFmtId="0" fontId="18" fillId="0" borderId="12" xfId="0" applyFont="1" applyBorder="1"/>
    <xf numFmtId="0" fontId="18" fillId="0" borderId="10" xfId="0" applyFont="1" applyBorder="1" applyAlignment="1">
      <alignment vertical="top" wrapText="1"/>
    </xf>
    <xf numFmtId="0" fontId="18" fillId="0" borderId="0" xfId="0" applyFont="1"/>
    <xf numFmtId="164" fontId="20" fillId="0" borderId="10" xfId="0" applyNumberFormat="1" applyFont="1" applyBorder="1"/>
    <xf numFmtId="0" fontId="19" fillId="33" borderId="10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8" fillId="0" borderId="16" xfId="0" applyFont="1" applyBorder="1" applyAlignment="1">
      <alignment horizontal="center"/>
    </xf>
    <xf numFmtId="166" fontId="18" fillId="0" borderId="0" xfId="0" applyNumberFormat="1" applyFont="1"/>
    <xf numFmtId="166" fontId="18" fillId="0" borderId="10" xfId="0" applyNumberFormat="1" applyFont="1" applyBorder="1"/>
    <xf numFmtId="4" fontId="18" fillId="0" borderId="10" xfId="0" applyNumberFormat="1" applyFont="1" applyBorder="1"/>
    <xf numFmtId="164" fontId="18" fillId="0" borderId="10" xfId="0" applyNumberFormat="1" applyFont="1" applyBorder="1"/>
    <xf numFmtId="164" fontId="22" fillId="0" borderId="10" xfId="0" applyNumberFormat="1" applyFont="1" applyBorder="1"/>
    <xf numFmtId="10" fontId="18" fillId="0" borderId="10" xfId="42" applyNumberFormat="1" applyFont="1" applyBorder="1"/>
    <xf numFmtId="166" fontId="22" fillId="0" borderId="10" xfId="0" applyNumberFormat="1" applyFont="1" applyBorder="1"/>
    <xf numFmtId="164" fontId="19" fillId="0" borderId="15" xfId="0" applyNumberFormat="1" applyFont="1" applyBorder="1"/>
    <xf numFmtId="164" fontId="19" fillId="0" borderId="0" xfId="0" applyNumberFormat="1" applyFont="1"/>
    <xf numFmtId="4" fontId="18" fillId="0" borderId="0" xfId="0" applyNumberFormat="1" applyFont="1"/>
    <xf numFmtId="10" fontId="19" fillId="0" borderId="0" xfId="42" applyNumberFormat="1" applyFont="1" applyBorder="1"/>
    <xf numFmtId="164" fontId="18" fillId="0" borderId="0" xfId="0" applyNumberFormat="1" applyFont="1"/>
    <xf numFmtId="164" fontId="19" fillId="0" borderId="0" xfId="42" applyNumberFormat="1" applyFont="1" applyFill="1" applyBorder="1"/>
    <xf numFmtId="10" fontId="19" fillId="0" borderId="0" xfId="42" applyNumberFormat="1" applyFont="1" applyFill="1" applyBorder="1"/>
    <xf numFmtId="164" fontId="22" fillId="0" borderId="10" xfId="0" applyNumberFormat="1" applyFont="1" applyBorder="1" applyAlignment="1">
      <alignment vertical="top" wrapText="1"/>
    </xf>
    <xf numFmtId="164" fontId="18" fillId="0" borderId="10" xfId="0" applyNumberFormat="1" applyFont="1" applyBorder="1" applyAlignment="1">
      <alignment vertical="top" wrapText="1"/>
    </xf>
    <xf numFmtId="10" fontId="18" fillId="0" borderId="10" xfId="42" applyNumberFormat="1" applyFont="1" applyBorder="1" applyAlignment="1">
      <alignment vertical="top" wrapText="1"/>
    </xf>
    <xf numFmtId="0" fontId="19" fillId="0" borderId="0" xfId="0" applyFont="1"/>
    <xf numFmtId="0" fontId="23" fillId="0" borderId="0" xfId="0" applyFont="1"/>
    <xf numFmtId="0" fontId="24" fillId="0" borderId="0" xfId="0" applyFont="1"/>
    <xf numFmtId="164" fontId="23" fillId="0" borderId="0" xfId="0" applyNumberFormat="1" applyFont="1"/>
    <xf numFmtId="4" fontId="24" fillId="0" borderId="0" xfId="0" applyNumberFormat="1" applyFont="1"/>
    <xf numFmtId="10" fontId="23" fillId="0" borderId="0" xfId="42" applyNumberFormat="1" applyFont="1" applyBorder="1"/>
    <xf numFmtId="164" fontId="23" fillId="0" borderId="0" xfId="42" applyNumberFormat="1" applyFont="1" applyFill="1" applyBorder="1"/>
    <xf numFmtId="166" fontId="23" fillId="0" borderId="0" xfId="0" applyNumberFormat="1" applyFont="1"/>
    <xf numFmtId="4" fontId="23" fillId="0" borderId="0" xfId="0" applyNumberFormat="1" applyFont="1"/>
    <xf numFmtId="164" fontId="23" fillId="33" borderId="0" xfId="0" applyNumberFormat="1" applyFont="1" applyFill="1"/>
    <xf numFmtId="166" fontId="23" fillId="33" borderId="0" xfId="0" applyNumberFormat="1" applyFont="1" applyFill="1"/>
    <xf numFmtId="0" fontId="20" fillId="0" borderId="10" xfId="0" applyFont="1" applyBorder="1" applyAlignment="1">
      <alignment vertical="top" wrapText="1"/>
    </xf>
    <xf numFmtId="165" fontId="20" fillId="0" borderId="10" xfId="0" applyNumberFormat="1" applyFont="1" applyBorder="1" applyAlignment="1">
      <alignment vertical="top" wrapText="1"/>
    </xf>
    <xf numFmtId="164" fontId="20" fillId="0" borderId="10" xfId="0" applyNumberFormat="1" applyFont="1" applyBorder="1" applyAlignment="1">
      <alignment vertical="top" wrapText="1"/>
    </xf>
    <xf numFmtId="3" fontId="20" fillId="0" borderId="10" xfId="0" applyNumberFormat="1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18" fillId="0" borderId="12" xfId="0" applyFont="1" applyBorder="1" applyAlignment="1">
      <alignment vertical="top" wrapText="1"/>
    </xf>
    <xf numFmtId="164" fontId="26" fillId="0" borderId="10" xfId="0" applyNumberFormat="1" applyFont="1" applyBorder="1"/>
    <xf numFmtId="0" fontId="18" fillId="0" borderId="10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7" fillId="0" borderId="0" xfId="0" applyFont="1"/>
    <xf numFmtId="164" fontId="18" fillId="0" borderId="15" xfId="0" applyNumberFormat="1" applyFont="1" applyBorder="1"/>
    <xf numFmtId="167" fontId="18" fillId="0" borderId="10" xfId="0" applyNumberFormat="1" applyFont="1" applyBorder="1" applyAlignment="1">
      <alignment vertical="top" wrapText="1"/>
    </xf>
    <xf numFmtId="10" fontId="18" fillId="0" borderId="10" xfId="42" applyNumberFormat="1" applyFont="1" applyFill="1" applyBorder="1"/>
    <xf numFmtId="164" fontId="19" fillId="0" borderId="0" xfId="42" applyNumberFormat="1" applyFont="1" applyBorder="1"/>
    <xf numFmtId="0" fontId="18" fillId="0" borderId="14" xfId="0" applyFont="1" applyBorder="1"/>
    <xf numFmtId="166" fontId="18" fillId="0" borderId="15" xfId="0" applyNumberFormat="1" applyFont="1" applyBorder="1"/>
    <xf numFmtId="4" fontId="18" fillId="0" borderId="15" xfId="0" applyNumberFormat="1" applyFont="1" applyBorder="1"/>
    <xf numFmtId="0" fontId="18" fillId="0" borderId="15" xfId="0" applyFont="1" applyBorder="1"/>
    <xf numFmtId="10" fontId="19" fillId="0" borderId="15" xfId="42" applyNumberFormat="1" applyFont="1" applyBorder="1"/>
    <xf numFmtId="164" fontId="19" fillId="0" borderId="12" xfId="0" applyNumberFormat="1" applyFont="1" applyBorder="1"/>
    <xf numFmtId="164" fontId="19" fillId="0" borderId="15" xfId="42" applyNumberFormat="1" applyFont="1" applyFill="1" applyBorder="1"/>
    <xf numFmtId="0" fontId="18" fillId="0" borderId="24" xfId="0" applyFont="1" applyBorder="1"/>
    <xf numFmtId="166" fontId="18" fillId="0" borderId="23" xfId="0" applyNumberFormat="1" applyFont="1" applyBorder="1"/>
    <xf numFmtId="4" fontId="18" fillId="0" borderId="23" xfId="0" applyNumberFormat="1" applyFont="1" applyBorder="1"/>
    <xf numFmtId="0" fontId="18" fillId="0" borderId="23" xfId="0" applyFont="1" applyBorder="1"/>
    <xf numFmtId="164" fontId="19" fillId="0" borderId="23" xfId="0" applyNumberFormat="1" applyFont="1" applyBorder="1"/>
    <xf numFmtId="164" fontId="18" fillId="0" borderId="23" xfId="0" applyNumberFormat="1" applyFont="1" applyBorder="1"/>
    <xf numFmtId="10" fontId="19" fillId="0" borderId="23" xfId="42" applyNumberFormat="1" applyFont="1" applyBorder="1"/>
    <xf numFmtId="10" fontId="19" fillId="0" borderId="23" xfId="42" applyNumberFormat="1" applyFont="1" applyFill="1" applyBorder="1"/>
    <xf numFmtId="164" fontId="19" fillId="0" borderId="17" xfId="0" applyNumberFormat="1" applyFont="1" applyBorder="1"/>
    <xf numFmtId="0" fontId="18" fillId="0" borderId="22" xfId="0" applyFont="1" applyBorder="1"/>
    <xf numFmtId="164" fontId="19" fillId="0" borderId="19" xfId="0" applyNumberFormat="1" applyFont="1" applyBorder="1"/>
    <xf numFmtId="0" fontId="18" fillId="0" borderId="20" xfId="0" applyFont="1" applyBorder="1"/>
    <xf numFmtId="166" fontId="18" fillId="0" borderId="21" xfId="0" applyNumberFormat="1" applyFont="1" applyBorder="1"/>
    <xf numFmtId="4" fontId="18" fillId="0" borderId="21" xfId="0" applyNumberFormat="1" applyFont="1" applyBorder="1"/>
    <xf numFmtId="0" fontId="18" fillId="0" borderId="21" xfId="0" applyFont="1" applyBorder="1"/>
    <xf numFmtId="164" fontId="19" fillId="0" borderId="21" xfId="0" applyNumberFormat="1" applyFont="1" applyBorder="1"/>
    <xf numFmtId="164" fontId="18" fillId="0" borderId="21" xfId="0" applyNumberFormat="1" applyFont="1" applyBorder="1"/>
    <xf numFmtId="10" fontId="19" fillId="0" borderId="21" xfId="42" applyNumberFormat="1" applyFont="1" applyBorder="1"/>
    <xf numFmtId="10" fontId="19" fillId="0" borderId="21" xfId="42" applyNumberFormat="1" applyFont="1" applyFill="1" applyBorder="1"/>
    <xf numFmtId="164" fontId="19" fillId="34" borderId="19" xfId="0" applyNumberFormat="1" applyFont="1" applyFill="1" applyBorder="1"/>
    <xf numFmtId="164" fontId="19" fillId="0" borderId="21" xfId="42" applyNumberFormat="1" applyFont="1" applyFill="1" applyBorder="1"/>
    <xf numFmtId="164" fontId="19" fillId="0" borderId="18" xfId="0" applyNumberFormat="1" applyFont="1" applyBorder="1"/>
    <xf numFmtId="164" fontId="19" fillId="0" borderId="23" xfId="42" applyNumberFormat="1" applyFont="1" applyFill="1" applyBorder="1"/>
    <xf numFmtId="166" fontId="18" fillId="34" borderId="23" xfId="0" applyNumberFormat="1" applyFont="1" applyFill="1" applyBorder="1"/>
    <xf numFmtId="166" fontId="23" fillId="0" borderId="0" xfId="42" applyNumberFormat="1" applyFont="1" applyBorder="1"/>
    <xf numFmtId="167" fontId="18" fillId="0" borderId="0" xfId="0" applyNumberFormat="1" applyFont="1"/>
    <xf numFmtId="167" fontId="18" fillId="0" borderId="10" xfId="0" applyNumberFormat="1" applyFont="1" applyBorder="1"/>
    <xf numFmtId="166" fontId="22" fillId="0" borderId="13" xfId="0" applyNumberFormat="1" applyFont="1" applyBorder="1"/>
    <xf numFmtId="10" fontId="18" fillId="0" borderId="13" xfId="42" applyNumberFormat="1" applyFont="1" applyBorder="1"/>
    <xf numFmtId="164" fontId="22" fillId="0" borderId="13" xfId="0" applyNumberFormat="1" applyFont="1" applyBorder="1"/>
    <xf numFmtId="164" fontId="18" fillId="0" borderId="13" xfId="0" applyNumberFormat="1" applyFont="1" applyBorder="1"/>
    <xf numFmtId="10" fontId="18" fillId="0" borderId="17" xfId="42" applyNumberFormat="1" applyFont="1" applyBorder="1"/>
    <xf numFmtId="164" fontId="18" fillId="0" borderId="24" xfId="0" applyNumberFormat="1" applyFont="1" applyBorder="1"/>
    <xf numFmtId="0" fontId="18" fillId="0" borderId="25" xfId="0" applyFont="1" applyBorder="1"/>
    <xf numFmtId="167" fontId="18" fillId="0" borderId="25" xfId="0" applyNumberFormat="1" applyFont="1" applyBorder="1"/>
    <xf numFmtId="164" fontId="22" fillId="0" borderId="26" xfId="0" applyNumberFormat="1" applyFont="1" applyBorder="1"/>
    <xf numFmtId="4" fontId="18" fillId="0" borderId="25" xfId="0" applyNumberFormat="1" applyFont="1" applyBorder="1"/>
    <xf numFmtId="164" fontId="18" fillId="0" borderId="26" xfId="0" applyNumberFormat="1" applyFont="1" applyBorder="1"/>
    <xf numFmtId="164" fontId="19" fillId="0" borderId="28" xfId="0" applyNumberFormat="1" applyFont="1" applyBorder="1"/>
    <xf numFmtId="164" fontId="19" fillId="0" borderId="29" xfId="0" applyNumberFormat="1" applyFont="1" applyBorder="1"/>
    <xf numFmtId="10" fontId="19" fillId="0" borderId="27" xfId="42" applyNumberFormat="1" applyFont="1" applyBorder="1"/>
    <xf numFmtId="167" fontId="18" fillId="0" borderId="30" xfId="0" applyNumberFormat="1" applyFont="1" applyBorder="1"/>
    <xf numFmtId="166" fontId="18" fillId="0" borderId="26" xfId="0" applyNumberFormat="1" applyFont="1" applyBorder="1"/>
    <xf numFmtId="10" fontId="19" fillId="0" borderId="26" xfId="42" applyNumberFormat="1" applyFont="1" applyBorder="1"/>
    <xf numFmtId="165" fontId="18" fillId="0" borderId="0" xfId="0" applyNumberFormat="1" applyFont="1"/>
    <xf numFmtId="9" fontId="19" fillId="0" borderId="0" xfId="42" applyFont="1" applyBorder="1"/>
    <xf numFmtId="164" fontId="31" fillId="0" borderId="18" xfId="0" applyNumberFormat="1" applyFont="1" applyBorder="1"/>
    <xf numFmtId="164" fontId="28" fillId="0" borderId="10" xfId="0" applyNumberFormat="1" applyFont="1" applyBorder="1" applyAlignment="1">
      <alignment vertical="top" wrapText="1"/>
    </xf>
    <xf numFmtId="164" fontId="19" fillId="34" borderId="17" xfId="0" applyNumberFormat="1" applyFont="1" applyFill="1" applyBorder="1"/>
    <xf numFmtId="168" fontId="18" fillId="0" borderId="0" xfId="0" applyNumberFormat="1" applyFont="1"/>
    <xf numFmtId="0" fontId="16" fillId="0" borderId="21" xfId="0" applyFont="1" applyBorder="1" applyAlignment="1">
      <alignment horizontal="center"/>
    </xf>
    <xf numFmtId="0" fontId="25" fillId="0" borderId="24" xfId="0" applyFont="1" applyBorder="1" applyAlignment="1">
      <alignment horizontal="right"/>
    </xf>
    <xf numFmtId="0" fontId="25" fillId="0" borderId="23" xfId="0" applyFont="1" applyBorder="1" applyAlignment="1">
      <alignment horizontal="right"/>
    </xf>
    <xf numFmtId="0" fontId="25" fillId="0" borderId="17" xfId="0" applyFont="1" applyBorder="1" applyAlignment="1">
      <alignment horizontal="righ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165" fontId="25" fillId="33" borderId="10" xfId="0" applyNumberFormat="1" applyFont="1" applyFill="1" applyBorder="1" applyAlignment="1">
      <alignment horizontal="right"/>
    </xf>
    <xf numFmtId="0" fontId="18" fillId="0" borderId="10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17" fontId="16" fillId="0" borderId="14" xfId="0" applyNumberFormat="1" applyFont="1" applyBorder="1" applyAlignment="1">
      <alignment horizontal="center"/>
    </xf>
    <xf numFmtId="17" fontId="16" fillId="0" borderId="15" xfId="0" applyNumberFormat="1" applyFont="1" applyBorder="1" applyAlignment="1">
      <alignment horizontal="center"/>
    </xf>
    <xf numFmtId="17" fontId="16" fillId="0" borderId="12" xfId="0" applyNumberFormat="1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8BA9-01AE-4256-94C8-CB8FB94AB71B}">
  <sheetPr codeName="Hoja2"/>
  <dimension ref="A1:R32"/>
  <sheetViews>
    <sheetView workbookViewId="0">
      <selection activeCell="B3" sqref="B3"/>
    </sheetView>
  </sheetViews>
  <sheetFormatPr defaultColWidth="11.42578125" defaultRowHeight="14.45"/>
  <cols>
    <col min="1" max="1" width="7.140625" customWidth="1"/>
    <col min="2" max="2" width="13" style="7" customWidth="1"/>
    <col min="3" max="3" width="8.85546875" style="7" customWidth="1"/>
    <col min="4" max="4" width="4.5703125" customWidth="1"/>
    <col min="5" max="5" width="5.7109375" customWidth="1"/>
    <col min="6" max="6" width="5" bestFit="1" customWidth="1"/>
    <col min="7" max="7" width="10.5703125" customWidth="1"/>
    <col min="8" max="8" width="18.140625" customWidth="1"/>
    <col min="9" max="9" width="3.42578125" bestFit="1" customWidth="1"/>
    <col min="10" max="10" width="4.28515625" bestFit="1" customWidth="1"/>
    <col min="11" max="11" width="5.7109375" bestFit="1" customWidth="1"/>
    <col min="12" max="13" width="5.28515625" customWidth="1"/>
    <col min="14" max="14" width="7.42578125" customWidth="1"/>
    <col min="15" max="15" width="4.85546875" customWidth="1"/>
    <col min="16" max="16" width="5.7109375" bestFit="1" customWidth="1"/>
    <col min="17" max="17" width="6.85546875" bestFit="1" customWidth="1"/>
    <col min="18" max="18" width="8.7109375" customWidth="1"/>
    <col min="26" max="26" width="18.140625" bestFit="1" customWidth="1"/>
    <col min="28" max="33" width="11.5703125" customWidth="1"/>
    <col min="34" max="34" width="16" customWidth="1"/>
    <col min="41" max="41" width="11.5703125" customWidth="1"/>
    <col min="44" max="44" width="13.5703125" customWidth="1"/>
    <col min="46" max="47" width="12.7109375" bestFit="1" customWidth="1"/>
    <col min="50" max="50" width="13.28515625" bestFit="1" customWidth="1"/>
    <col min="52" max="52" width="12.7109375" bestFit="1" customWidth="1"/>
  </cols>
  <sheetData>
    <row r="1" spans="1:18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ht="20.4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2</v>
      </c>
      <c r="O2" s="6" t="s">
        <v>14</v>
      </c>
      <c r="P2" s="6" t="s">
        <v>6</v>
      </c>
      <c r="Q2" s="6" t="s">
        <v>15</v>
      </c>
      <c r="R2" s="6" t="s">
        <v>16</v>
      </c>
    </row>
    <row r="3" spans="1:18" ht="20.45">
      <c r="A3" s="118" t="s">
        <v>17</v>
      </c>
      <c r="B3" s="3" t="s">
        <v>18</v>
      </c>
      <c r="C3" s="3" t="s">
        <v>19</v>
      </c>
      <c r="D3" s="3">
        <v>48</v>
      </c>
      <c r="E3" s="3">
        <v>384</v>
      </c>
      <c r="F3" s="3">
        <v>1800</v>
      </c>
      <c r="G3" s="3" t="s">
        <v>20</v>
      </c>
      <c r="H3" s="37" t="s">
        <v>21</v>
      </c>
      <c r="I3" s="37">
        <v>24</v>
      </c>
      <c r="J3" s="37">
        <v>744</v>
      </c>
      <c r="K3" s="38">
        <v>1.96274193548387</v>
      </c>
      <c r="L3" s="38">
        <v>0.354287634408602</v>
      </c>
      <c r="M3" s="38">
        <f>K3+L3</f>
        <v>2.3170295698924721</v>
      </c>
      <c r="N3" s="39">
        <f>J3*M3</f>
        <v>1723.8699999999992</v>
      </c>
      <c r="O3" s="38">
        <v>9.4722222222222194E-2</v>
      </c>
      <c r="P3" s="40">
        <v>1800</v>
      </c>
      <c r="Q3" s="39">
        <f>P3*O3</f>
        <v>170.49999999999994</v>
      </c>
      <c r="R3" s="39">
        <f>N3+Q3</f>
        <v>1894.3699999999992</v>
      </c>
    </row>
    <row r="4" spans="1:18" ht="20.45">
      <c r="A4" s="119"/>
      <c r="B4" s="3" t="s">
        <v>22</v>
      </c>
      <c r="C4" s="3" t="s">
        <v>23</v>
      </c>
      <c r="D4" s="3">
        <v>16</v>
      </c>
      <c r="E4" s="3">
        <v>128</v>
      </c>
      <c r="F4" s="3">
        <v>700</v>
      </c>
      <c r="G4" s="41" t="s">
        <v>24</v>
      </c>
      <c r="H4" s="37" t="s">
        <v>21</v>
      </c>
      <c r="I4" s="37">
        <v>16</v>
      </c>
      <c r="J4" s="37">
        <v>744</v>
      </c>
      <c r="K4" s="38">
        <v>1.3763978494623657</v>
      </c>
      <c r="L4" s="38"/>
      <c r="M4" s="38">
        <f>K4+L4</f>
        <v>1.3763978494623657</v>
      </c>
      <c r="N4" s="39">
        <f>J4*K4</f>
        <v>1024.04</v>
      </c>
      <c r="O4" s="38">
        <v>8.2857142857142893E-2</v>
      </c>
      <c r="P4" s="40">
        <v>700</v>
      </c>
      <c r="Q4" s="39">
        <f>P4*O4</f>
        <v>58.000000000000028</v>
      </c>
      <c r="R4" s="39">
        <f>N4+Q4</f>
        <v>1082.04</v>
      </c>
    </row>
    <row r="5" spans="1:18" ht="12.6" customHeight="1">
      <c r="A5" s="119"/>
      <c r="B5" s="3" t="s">
        <v>25</v>
      </c>
      <c r="C5" s="3" t="s">
        <v>26</v>
      </c>
      <c r="D5" s="3">
        <v>1</v>
      </c>
      <c r="E5" s="3">
        <v>61</v>
      </c>
      <c r="F5" s="3">
        <v>210</v>
      </c>
      <c r="G5" s="3" t="s">
        <v>27</v>
      </c>
      <c r="H5" s="37" t="s">
        <v>28</v>
      </c>
      <c r="I5" s="42">
        <v>4</v>
      </c>
      <c r="J5" s="37">
        <v>744</v>
      </c>
      <c r="K5" s="38">
        <v>0.1108</v>
      </c>
      <c r="L5" s="38"/>
      <c r="M5" s="38">
        <f>K5+L5</f>
        <v>0.1108</v>
      </c>
      <c r="N5" s="39">
        <f t="shared" ref="N5:N7" si="0">J5*K5</f>
        <v>82.435199999999995</v>
      </c>
      <c r="O5" s="37">
        <v>0.08</v>
      </c>
      <c r="P5" s="37">
        <v>210</v>
      </c>
      <c r="Q5" s="39">
        <f t="shared" ref="Q5:Q7" si="1">P5*O5</f>
        <v>16.8</v>
      </c>
      <c r="R5" s="39">
        <f t="shared" ref="R5:R7" si="2">N5+Q5</f>
        <v>99.235199999999992</v>
      </c>
    </row>
    <row r="6" spans="1:18" ht="20.45">
      <c r="A6" s="119"/>
      <c r="B6" s="3" t="s">
        <v>29</v>
      </c>
      <c r="C6" s="3" t="s">
        <v>30</v>
      </c>
      <c r="D6" s="3">
        <v>8</v>
      </c>
      <c r="E6" s="3">
        <v>64</v>
      </c>
      <c r="F6" s="3">
        <v>690</v>
      </c>
      <c r="G6" s="3" t="s">
        <v>31</v>
      </c>
      <c r="H6" s="37" t="s">
        <v>32</v>
      </c>
      <c r="I6" s="42">
        <v>24</v>
      </c>
      <c r="J6" s="37">
        <v>744</v>
      </c>
      <c r="K6" s="38">
        <v>0.872</v>
      </c>
      <c r="L6" s="38"/>
      <c r="M6" s="38">
        <f t="shared" ref="M6:M7" si="3">K6+L6</f>
        <v>0.872</v>
      </c>
      <c r="N6" s="39">
        <f t="shared" si="0"/>
        <v>648.76800000000003</v>
      </c>
      <c r="O6" s="37">
        <v>0.08</v>
      </c>
      <c r="P6" s="37">
        <v>690</v>
      </c>
      <c r="Q6" s="39">
        <f t="shared" si="1"/>
        <v>55.2</v>
      </c>
      <c r="R6" s="39">
        <f t="shared" si="2"/>
        <v>703.96800000000007</v>
      </c>
    </row>
    <row r="7" spans="1:18" ht="20.45">
      <c r="A7" s="120"/>
      <c r="B7" s="3" t="s">
        <v>33</v>
      </c>
      <c r="C7" s="3" t="s">
        <v>34</v>
      </c>
      <c r="D7" s="3">
        <v>2</v>
      </c>
      <c r="E7" s="3">
        <v>8</v>
      </c>
      <c r="F7" s="3">
        <v>370</v>
      </c>
      <c r="G7" s="3" t="s">
        <v>27</v>
      </c>
      <c r="H7" s="37" t="s">
        <v>35</v>
      </c>
      <c r="I7" s="42">
        <v>12</v>
      </c>
      <c r="J7" s="37">
        <v>744</v>
      </c>
      <c r="K7" s="38">
        <v>0.67200000000000004</v>
      </c>
      <c r="L7" s="38"/>
      <c r="M7" s="38">
        <f t="shared" si="3"/>
        <v>0.67200000000000004</v>
      </c>
      <c r="N7" s="39">
        <f t="shared" si="0"/>
        <v>499.96800000000002</v>
      </c>
      <c r="O7" s="37">
        <v>0.08</v>
      </c>
      <c r="P7" s="37">
        <v>370</v>
      </c>
      <c r="Q7" s="39">
        <f t="shared" si="1"/>
        <v>29.6</v>
      </c>
      <c r="R7" s="39">
        <f t="shared" si="2"/>
        <v>529.56799999999998</v>
      </c>
    </row>
    <row r="8" spans="1:18" ht="20.45">
      <c r="A8" s="116" t="s">
        <v>36</v>
      </c>
      <c r="B8" s="3" t="s">
        <v>37</v>
      </c>
      <c r="C8" s="3" t="s">
        <v>19</v>
      </c>
      <c r="D8" s="3">
        <v>48</v>
      </c>
      <c r="E8" s="3">
        <v>384</v>
      </c>
      <c r="F8" s="3">
        <v>1460</v>
      </c>
      <c r="G8" s="3" t="s">
        <v>20</v>
      </c>
      <c r="H8" s="37" t="s">
        <v>21</v>
      </c>
      <c r="I8" s="3">
        <v>24</v>
      </c>
      <c r="J8" s="37">
        <v>100</v>
      </c>
      <c r="K8" s="38">
        <f>2.967096774</f>
        <v>2.9670967739999998</v>
      </c>
      <c r="L8" s="38">
        <v>0.354287634408602</v>
      </c>
      <c r="M8" s="38">
        <f>K8+L8</f>
        <v>3.3213844084086017</v>
      </c>
      <c r="N8" s="39">
        <f>J8*M8</f>
        <v>332.1384408408602</v>
      </c>
      <c r="O8" s="38">
        <v>9.4722222222222194E-2</v>
      </c>
      <c r="P8" s="37">
        <v>1460</v>
      </c>
      <c r="Q8" s="39">
        <f>P8*O8</f>
        <v>138.29444444444439</v>
      </c>
      <c r="R8" s="39">
        <f>N8+Q8</f>
        <v>470.43288528530456</v>
      </c>
    </row>
    <row r="9" spans="1:18" ht="20.45">
      <c r="A9" s="117"/>
      <c r="B9" s="3" t="s">
        <v>38</v>
      </c>
      <c r="C9" s="3" t="s">
        <v>23</v>
      </c>
      <c r="D9" s="3">
        <v>16</v>
      </c>
      <c r="E9" s="3">
        <v>128</v>
      </c>
      <c r="F9" s="3">
        <v>660</v>
      </c>
      <c r="G9" s="41" t="s">
        <v>24</v>
      </c>
      <c r="H9" s="37" t="s">
        <v>21</v>
      </c>
      <c r="I9" s="3">
        <v>4</v>
      </c>
      <c r="J9" s="37">
        <v>100</v>
      </c>
      <c r="K9" s="38">
        <f>1.711182796</f>
        <v>1.7111827959999999</v>
      </c>
      <c r="L9" s="38"/>
      <c r="M9" s="38">
        <f>K9+L9</f>
        <v>1.7111827959999999</v>
      </c>
      <c r="N9" s="39">
        <f>J9*M9</f>
        <v>171.11827959999999</v>
      </c>
      <c r="O9" s="38">
        <v>8.2857142857142893E-2</v>
      </c>
      <c r="P9" s="37">
        <v>660</v>
      </c>
      <c r="Q9" s="39">
        <f>P9*O9</f>
        <v>54.685714285714312</v>
      </c>
      <c r="R9" s="39">
        <f>N9+Q9</f>
        <v>225.80399388571431</v>
      </c>
    </row>
    <row r="10" spans="1:18" ht="20.45" customHeight="1">
      <c r="A10" s="8"/>
      <c r="B10" s="121" t="s">
        <v>39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43">
        <f>SUM(R3:R9)</f>
        <v>5005.4180791710187</v>
      </c>
    </row>
    <row r="11" spans="1:18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5"/>
      <c r="M11" s="122" t="s">
        <v>40</v>
      </c>
      <c r="N11" s="122"/>
      <c r="O11" s="122"/>
      <c r="P11" s="10">
        <v>5.0000000000000001E-3</v>
      </c>
      <c r="Q11" s="11">
        <v>2723.1179999999999</v>
      </c>
      <c r="R11" s="5">
        <f>P11*Q11</f>
        <v>13.615589999999999</v>
      </c>
    </row>
    <row r="12" spans="1:18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5"/>
      <c r="M12" s="122" t="s">
        <v>41</v>
      </c>
      <c r="N12" s="122"/>
      <c r="O12" s="122"/>
      <c r="P12" s="10">
        <v>0.04</v>
      </c>
      <c r="Q12" s="11">
        <f>0.725</f>
        <v>0.72499999999999998</v>
      </c>
      <c r="R12" s="5">
        <f t="shared" ref="R12:R28" si="4">P12*Q12</f>
        <v>2.8999999999999998E-2</v>
      </c>
    </row>
    <row r="13" spans="1:18" ht="13.9" customHeight="1">
      <c r="A13" s="123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5"/>
      <c r="M13" s="122" t="s">
        <v>42</v>
      </c>
      <c r="N13" s="122"/>
      <c r="O13" s="122"/>
      <c r="P13" s="10">
        <v>0.05</v>
      </c>
      <c r="Q13" s="11">
        <v>2476.5140000000001</v>
      </c>
      <c r="R13" s="5">
        <f t="shared" si="4"/>
        <v>123.82570000000001</v>
      </c>
    </row>
    <row r="14" spans="1:18">
      <c r="A14" s="123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5"/>
      <c r="M14" s="113" t="s">
        <v>43</v>
      </c>
      <c r="N14" s="114"/>
      <c r="O14" s="115"/>
      <c r="P14" s="10">
        <v>4.4999999999999998E-2</v>
      </c>
      <c r="Q14" s="11">
        <v>14.314</v>
      </c>
      <c r="R14" s="5">
        <f t="shared" si="4"/>
        <v>0.64412999999999998</v>
      </c>
    </row>
    <row r="15" spans="1:18" ht="13.9" customHeight="1">
      <c r="A15" s="123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5"/>
      <c r="M15" s="113" t="s">
        <v>44</v>
      </c>
      <c r="N15" s="114"/>
      <c r="O15" s="115"/>
      <c r="P15" s="10">
        <v>4.4999999999999998E-2</v>
      </c>
      <c r="Q15" s="11">
        <v>744</v>
      </c>
      <c r="R15" s="5">
        <f t="shared" si="4"/>
        <v>33.479999999999997</v>
      </c>
    </row>
    <row r="16" spans="1:18" ht="12.6" customHeight="1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5"/>
      <c r="M16" s="113" t="s">
        <v>45</v>
      </c>
      <c r="N16" s="114"/>
      <c r="O16" s="115"/>
      <c r="P16" s="10">
        <v>0.05</v>
      </c>
      <c r="Q16" s="11">
        <v>2232</v>
      </c>
      <c r="R16" s="5">
        <f t="shared" si="4"/>
        <v>111.60000000000001</v>
      </c>
    </row>
    <row r="17" spans="1:18">
      <c r="A17" s="123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5"/>
      <c r="M17" s="113" t="s">
        <v>46</v>
      </c>
      <c r="N17" s="114"/>
      <c r="O17" s="115"/>
      <c r="P17" s="10">
        <v>0.05</v>
      </c>
      <c r="Q17" s="11">
        <v>2945.4520000000002</v>
      </c>
      <c r="R17" s="5">
        <f t="shared" si="4"/>
        <v>147.27260000000001</v>
      </c>
    </row>
    <row r="18" spans="1:18">
      <c r="A18" s="123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5"/>
      <c r="M18" s="113" t="s">
        <v>47</v>
      </c>
      <c r="N18" s="114"/>
      <c r="O18" s="115"/>
      <c r="P18" s="10">
        <v>0.05</v>
      </c>
      <c r="Q18" s="11">
        <v>8464.4680000000008</v>
      </c>
      <c r="R18" s="5">
        <f t="shared" si="4"/>
        <v>423.22340000000008</v>
      </c>
    </row>
    <row r="19" spans="1:18">
      <c r="A19" s="123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5"/>
      <c r="M19" s="113" t="s">
        <v>48</v>
      </c>
      <c r="N19" s="114"/>
      <c r="O19" s="115"/>
      <c r="P19" s="10">
        <v>1E-3</v>
      </c>
      <c r="Q19" s="11">
        <v>68363</v>
      </c>
      <c r="R19" s="5">
        <f t="shared" si="4"/>
        <v>68.363</v>
      </c>
    </row>
    <row r="20" spans="1:18">
      <c r="A20" s="123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5"/>
      <c r="M20" s="113" t="s">
        <v>49</v>
      </c>
      <c r="N20" s="114"/>
      <c r="O20" s="115"/>
      <c r="P20" s="10">
        <v>0.1</v>
      </c>
      <c r="Q20" s="11">
        <v>9.3550000000000004</v>
      </c>
      <c r="R20" s="5">
        <f t="shared" si="4"/>
        <v>0.93550000000000011</v>
      </c>
    </row>
    <row r="21" spans="1:18">
      <c r="A21" s="123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5"/>
      <c r="M21" s="113" t="s">
        <v>50</v>
      </c>
      <c r="N21" s="114"/>
      <c r="O21" s="115"/>
      <c r="P21" s="10">
        <v>0.3</v>
      </c>
      <c r="Q21" s="11">
        <v>28.102</v>
      </c>
      <c r="R21" s="5">
        <f t="shared" si="4"/>
        <v>8.4306000000000001</v>
      </c>
    </row>
    <row r="22" spans="1:18">
      <c r="A22" s="123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5"/>
      <c r="M22" s="113" t="s">
        <v>51</v>
      </c>
      <c r="N22" s="114"/>
      <c r="O22" s="115"/>
      <c r="P22" s="10">
        <v>0.01</v>
      </c>
      <c r="Q22" s="11">
        <v>1.2250000000000001</v>
      </c>
      <c r="R22" s="5">
        <f t="shared" si="4"/>
        <v>1.225E-2</v>
      </c>
    </row>
    <row r="23" spans="1:18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5"/>
      <c r="M23" s="113" t="s">
        <v>52</v>
      </c>
      <c r="N23" s="114"/>
      <c r="O23" s="115"/>
      <c r="P23" s="10">
        <v>0.09</v>
      </c>
      <c r="Q23" s="11">
        <v>35.661000000000001</v>
      </c>
      <c r="R23" s="5">
        <f t="shared" si="4"/>
        <v>3.2094900000000002</v>
      </c>
    </row>
    <row r="24" spans="1:18">
      <c r="A24" s="123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5"/>
      <c r="M24" s="113" t="s">
        <v>53</v>
      </c>
      <c r="N24" s="114"/>
      <c r="O24" s="115"/>
      <c r="P24" s="10">
        <v>4</v>
      </c>
      <c r="Q24" s="11">
        <v>1</v>
      </c>
      <c r="R24" s="5">
        <f t="shared" si="4"/>
        <v>4</v>
      </c>
    </row>
    <row r="25" spans="1:18">
      <c r="A25" s="123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3" t="s">
        <v>54</v>
      </c>
      <c r="N25" s="114"/>
      <c r="O25" s="115"/>
      <c r="P25" s="10">
        <v>0.1</v>
      </c>
      <c r="Q25" s="11">
        <v>5</v>
      </c>
      <c r="R25" s="5">
        <f t="shared" si="4"/>
        <v>0.5</v>
      </c>
    </row>
    <row r="26" spans="1:18">
      <c r="A26" s="123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5"/>
      <c r="M26" s="113" t="s">
        <v>55</v>
      </c>
      <c r="N26" s="114"/>
      <c r="O26" s="115"/>
      <c r="P26" s="10">
        <v>0.4</v>
      </c>
      <c r="Q26" s="11">
        <f>201547/1000000</f>
        <v>0.201547</v>
      </c>
      <c r="R26" s="5">
        <f t="shared" si="4"/>
        <v>8.0618800000000004E-2</v>
      </c>
    </row>
    <row r="27" spans="1:18">
      <c r="A27" s="123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5"/>
      <c r="M27" s="44" t="s">
        <v>56</v>
      </c>
      <c r="N27" s="45"/>
      <c r="O27" s="46"/>
      <c r="P27" s="10">
        <v>0.51</v>
      </c>
      <c r="Q27" s="11">
        <f>50</f>
        <v>50</v>
      </c>
      <c r="R27" s="5">
        <f t="shared" si="4"/>
        <v>25.5</v>
      </c>
    </row>
    <row r="28" spans="1:18">
      <c r="A28" s="126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8"/>
      <c r="M28" s="113" t="s">
        <v>57</v>
      </c>
      <c r="N28" s="114"/>
      <c r="O28" s="115"/>
      <c r="P28" s="10">
        <v>1.25</v>
      </c>
      <c r="Q28" s="11">
        <v>1</v>
      </c>
      <c r="R28" s="5">
        <f t="shared" si="4"/>
        <v>1.25</v>
      </c>
    </row>
    <row r="29" spans="1:18" ht="14.45" customHeight="1">
      <c r="A29" s="121" t="s">
        <v>58</v>
      </c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43">
        <f>SUM(R11:R28)</f>
        <v>965.97187880000024</v>
      </c>
    </row>
    <row r="30" spans="1:18">
      <c r="A30" s="110" t="s">
        <v>59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2"/>
      <c r="R30" s="43">
        <f>R10+R29</f>
        <v>5971.3899579710187</v>
      </c>
    </row>
    <row r="31" spans="1:18">
      <c r="A31" s="110" t="s">
        <v>60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2"/>
      <c r="R31" s="43">
        <v>511</v>
      </c>
    </row>
    <row r="32" spans="1:18">
      <c r="A32" s="110" t="s">
        <v>61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2"/>
      <c r="R32" s="43">
        <f>R30+R31</f>
        <v>6482.3899579710187</v>
      </c>
    </row>
  </sheetData>
  <mergeCells count="26">
    <mergeCell ref="A31:Q31"/>
    <mergeCell ref="A32:Q32"/>
    <mergeCell ref="A11:L28"/>
    <mergeCell ref="B10:Q10"/>
    <mergeCell ref="M11:O11"/>
    <mergeCell ref="M12:O12"/>
    <mergeCell ref="M13:O13"/>
    <mergeCell ref="A29:Q29"/>
    <mergeCell ref="M14:O14"/>
    <mergeCell ref="M15:O15"/>
    <mergeCell ref="A1:R1"/>
    <mergeCell ref="A30:Q30"/>
    <mergeCell ref="M26:O26"/>
    <mergeCell ref="M28:O28"/>
    <mergeCell ref="M21:O21"/>
    <mergeCell ref="M22:O22"/>
    <mergeCell ref="M23:O23"/>
    <mergeCell ref="M24:O24"/>
    <mergeCell ref="M25:O25"/>
    <mergeCell ref="M16:O16"/>
    <mergeCell ref="M17:O17"/>
    <mergeCell ref="M18:O18"/>
    <mergeCell ref="M19:O19"/>
    <mergeCell ref="M20:O20"/>
    <mergeCell ref="A8:A9"/>
    <mergeCell ref="A3:A7"/>
  </mergeCells>
  <pageMargins left="0.70866141732283472" right="0.70866141732283472" top="0.6692913385826772" bottom="0.74803149606299213" header="0.31496062992125984" footer="0.31496062992125984"/>
  <pageSetup paperSize="9" orientation="landscape" r:id="rId1"/>
  <headerFooter>
    <oddHeader>&amp;CCLS. Presupuesto de Utilizacion AWS al Concluir Fase de Estabilizacion Proyecto de Actualizacion 2023</oddHeader>
    <oddFooter>&amp;CPágina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BF5D-9C45-4CC7-AF47-362899B88045}">
  <sheetPr codeName="Hoja1"/>
  <dimension ref="A1:BH55"/>
  <sheetViews>
    <sheetView tabSelected="1" topLeftCell="A16" zoomScale="91" zoomScaleNormal="91" workbookViewId="0">
      <pane xSplit="2" topLeftCell="AL1" activePane="topRight" state="frozen"/>
      <selection pane="topRight" activeCell="AM52" sqref="AM52"/>
    </sheetView>
  </sheetViews>
  <sheetFormatPr defaultColWidth="11.5703125" defaultRowHeight="10.15"/>
  <cols>
    <col min="1" max="1" width="21.7109375" style="4" customWidth="1"/>
    <col min="2" max="2" width="5.7109375" style="4" bestFit="1" customWidth="1"/>
    <col min="3" max="3" width="7.5703125" style="4" customWidth="1"/>
    <col min="4" max="4" width="8.42578125" style="4" customWidth="1"/>
    <col min="5" max="5" width="9.28515625" style="4" customWidth="1"/>
    <col min="6" max="6" width="6.7109375" style="4" customWidth="1"/>
    <col min="7" max="7" width="8.28515625" style="4" customWidth="1"/>
    <col min="8" max="8" width="9.5703125" style="4" bestFit="1" customWidth="1"/>
    <col min="9" max="9" width="7" style="4" customWidth="1"/>
    <col min="10" max="10" width="8" style="4" customWidth="1"/>
    <col min="11" max="11" width="6.42578125" style="4" customWidth="1"/>
    <col min="12" max="12" width="8.28515625" style="4" customWidth="1"/>
    <col min="13" max="13" width="6.7109375" style="4" customWidth="1"/>
    <col min="14" max="14" width="7.7109375" style="4" customWidth="1"/>
    <col min="15" max="15" width="12.7109375" style="4" customWidth="1"/>
    <col min="16" max="16" width="6" style="4" bestFit="1" customWidth="1"/>
    <col min="17" max="17" width="6.42578125" style="4" bestFit="1" customWidth="1"/>
    <col min="18" max="18" width="6.140625" style="4" customWidth="1"/>
    <col min="19" max="19" width="7.28515625" style="4" bestFit="1" customWidth="1"/>
    <col min="20" max="20" width="6.5703125" style="4" customWidth="1"/>
    <col min="21" max="21" width="7" style="4" bestFit="1" customWidth="1"/>
    <col min="22" max="22" width="9.42578125" style="4" customWidth="1"/>
    <col min="23" max="23" width="6" style="4" bestFit="1" customWidth="1"/>
    <col min="24" max="24" width="8.28515625" style="4" bestFit="1" customWidth="1"/>
    <col min="25" max="25" width="7.42578125" style="4" bestFit="1" customWidth="1"/>
    <col min="26" max="26" width="7.28515625" style="4" bestFit="1" customWidth="1"/>
    <col min="27" max="27" width="6.28515625" style="4" bestFit="1" customWidth="1"/>
    <col min="28" max="28" width="7.28515625" style="4" customWidth="1"/>
    <col min="29" max="29" width="12.85546875" style="4" customWidth="1"/>
    <col min="30" max="30" width="6" style="4" bestFit="1" customWidth="1"/>
    <col min="31" max="31" width="8.28515625" style="4" bestFit="1" customWidth="1"/>
    <col min="32" max="32" width="7.42578125" style="4" bestFit="1" customWidth="1"/>
    <col min="33" max="33" width="7.28515625" style="4" bestFit="1" customWidth="1"/>
    <col min="34" max="34" width="6.85546875" style="4" bestFit="1" customWidth="1"/>
    <col min="35" max="35" width="7.28515625" style="4" customWidth="1"/>
    <col min="36" max="36" width="11.28515625" style="4" customWidth="1"/>
    <col min="37" max="37" width="7.28515625" style="4" bestFit="1" customWidth="1"/>
    <col min="38" max="38" width="8.28515625" style="4" bestFit="1" customWidth="1"/>
    <col min="39" max="39" width="7.42578125" style="4" bestFit="1" customWidth="1"/>
    <col min="40" max="40" width="7.28515625" style="4" bestFit="1" customWidth="1"/>
    <col min="41" max="41" width="6.85546875" style="4" bestFit="1" customWidth="1"/>
    <col min="42" max="42" width="7.28515625" style="4" customWidth="1"/>
    <col min="43" max="43" width="11.28515625" style="4" customWidth="1"/>
    <col min="44" max="44" width="9.7109375" style="4" bestFit="1" customWidth="1"/>
    <col min="45" max="45" width="8.28515625" style="4" bestFit="1" customWidth="1"/>
    <col min="46" max="46" width="7.42578125" style="4" bestFit="1" customWidth="1"/>
    <col min="47" max="47" width="7.28515625" style="4" bestFit="1" customWidth="1"/>
    <col min="48" max="48" width="6.85546875" style="4" bestFit="1" customWidth="1"/>
    <col min="49" max="49" width="7.28515625" style="4" customWidth="1"/>
    <col min="50" max="50" width="11.28515625" style="4" customWidth="1"/>
    <col min="51" max="51" width="9.140625" style="4" bestFit="1" customWidth="1"/>
    <col min="52" max="52" width="8.28515625" style="4" bestFit="1" customWidth="1"/>
    <col min="53" max="53" width="7.42578125" style="4" bestFit="1" customWidth="1"/>
    <col min="54" max="54" width="7.28515625" style="4" bestFit="1" customWidth="1"/>
    <col min="55" max="55" width="6.85546875" style="4" bestFit="1" customWidth="1"/>
    <col min="56" max="56" width="7.28515625" style="4" customWidth="1"/>
    <col min="57" max="57" width="11.28515625" style="4" customWidth="1"/>
    <col min="58" max="58" width="9.140625" style="4" bestFit="1" customWidth="1"/>
    <col min="59" max="16384" width="11.5703125" style="4"/>
  </cols>
  <sheetData>
    <row r="1" spans="1:59" ht="14.45">
      <c r="C1" s="129">
        <v>45474</v>
      </c>
      <c r="D1" s="130"/>
      <c r="E1" s="130"/>
      <c r="F1" s="130"/>
      <c r="G1" s="130"/>
      <c r="H1" s="130"/>
      <c r="I1" s="131"/>
      <c r="J1" s="129">
        <v>45658</v>
      </c>
      <c r="K1" s="130"/>
      <c r="L1" s="130"/>
      <c r="M1" s="130"/>
      <c r="N1" s="130"/>
      <c r="O1" s="130"/>
      <c r="P1" s="131"/>
      <c r="Q1" s="129">
        <v>45809</v>
      </c>
      <c r="R1" s="130"/>
      <c r="S1" s="130"/>
      <c r="T1" s="130"/>
      <c r="U1" s="130"/>
      <c r="V1" s="130"/>
      <c r="W1" s="131"/>
      <c r="X1" s="129">
        <v>45839</v>
      </c>
      <c r="Y1" s="130"/>
      <c r="Z1" s="130"/>
      <c r="AA1" s="130"/>
      <c r="AB1" s="130"/>
      <c r="AC1" s="130"/>
      <c r="AD1" s="131"/>
      <c r="AE1" s="129">
        <v>45870</v>
      </c>
      <c r="AF1" s="130"/>
      <c r="AG1" s="130"/>
      <c r="AH1" s="130"/>
      <c r="AI1" s="130"/>
      <c r="AJ1" s="130"/>
      <c r="AK1" s="131"/>
      <c r="AL1" s="129">
        <v>45931</v>
      </c>
      <c r="AM1" s="130"/>
      <c r="AN1" s="130"/>
      <c r="AO1" s="130"/>
      <c r="AP1" s="130"/>
      <c r="AQ1" s="130"/>
      <c r="AR1" s="131"/>
      <c r="AS1" s="129">
        <v>45962</v>
      </c>
      <c r="AT1" s="130"/>
      <c r="AU1" s="130"/>
      <c r="AV1" s="130"/>
      <c r="AW1" s="130"/>
      <c r="AX1" s="130"/>
      <c r="AY1" s="131"/>
      <c r="AZ1" s="129">
        <v>45992</v>
      </c>
      <c r="BA1" s="130"/>
      <c r="BB1" s="130"/>
      <c r="BC1" s="130"/>
      <c r="BD1" s="130"/>
      <c r="BE1" s="130"/>
      <c r="BF1" s="131"/>
    </row>
    <row r="2" spans="1:59" ht="30.6">
      <c r="A2" s="6" t="s">
        <v>62</v>
      </c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70</v>
      </c>
      <c r="J2" s="6" t="s">
        <v>64</v>
      </c>
      <c r="K2" s="6" t="s">
        <v>65</v>
      </c>
      <c r="L2" s="6" t="s">
        <v>66</v>
      </c>
      <c r="M2" s="6" t="s">
        <v>67</v>
      </c>
      <c r="N2" s="6" t="s">
        <v>68</v>
      </c>
      <c r="O2" s="6" t="s">
        <v>69</v>
      </c>
      <c r="P2" s="6" t="s">
        <v>70</v>
      </c>
      <c r="Q2" s="6" t="s">
        <v>64</v>
      </c>
      <c r="R2" s="6" t="s">
        <v>65</v>
      </c>
      <c r="S2" s="6" t="s">
        <v>66</v>
      </c>
      <c r="T2" s="6" t="s">
        <v>67</v>
      </c>
      <c r="U2" s="6" t="s">
        <v>68</v>
      </c>
      <c r="V2" s="6" t="s">
        <v>69</v>
      </c>
      <c r="W2" s="6" t="s">
        <v>70</v>
      </c>
      <c r="X2" s="6" t="s">
        <v>64</v>
      </c>
      <c r="Y2" s="6" t="s">
        <v>65</v>
      </c>
      <c r="Z2" s="6" t="s">
        <v>66</v>
      </c>
      <c r="AA2" s="6" t="s">
        <v>67</v>
      </c>
      <c r="AB2" s="6" t="s">
        <v>68</v>
      </c>
      <c r="AC2" s="6" t="s">
        <v>69</v>
      </c>
      <c r="AD2" s="6" t="s">
        <v>70</v>
      </c>
      <c r="AE2" s="6" t="s">
        <v>64</v>
      </c>
      <c r="AF2" s="6" t="s">
        <v>65</v>
      </c>
      <c r="AG2" s="6" t="s">
        <v>66</v>
      </c>
      <c r="AH2" s="6" t="s">
        <v>67</v>
      </c>
      <c r="AI2" s="6" t="s">
        <v>68</v>
      </c>
      <c r="AJ2" s="6" t="s">
        <v>69</v>
      </c>
      <c r="AK2" s="6" t="s">
        <v>70</v>
      </c>
      <c r="AL2" s="6" t="s">
        <v>64</v>
      </c>
      <c r="AM2" s="6" t="s">
        <v>65</v>
      </c>
      <c r="AN2" s="6" t="s">
        <v>66</v>
      </c>
      <c r="AO2" s="6" t="s">
        <v>67</v>
      </c>
      <c r="AP2" s="6" t="s">
        <v>68</v>
      </c>
      <c r="AQ2" s="6" t="s">
        <v>69</v>
      </c>
      <c r="AR2" s="6" t="s">
        <v>71</v>
      </c>
      <c r="AS2" s="6" t="s">
        <v>64</v>
      </c>
      <c r="AT2" s="6" t="s">
        <v>65</v>
      </c>
      <c r="AU2" s="6" t="s">
        <v>66</v>
      </c>
      <c r="AV2" s="6" t="s">
        <v>67</v>
      </c>
      <c r="AW2" s="6" t="s">
        <v>68</v>
      </c>
      <c r="AX2" s="6" t="s">
        <v>69</v>
      </c>
      <c r="AY2" s="6" t="s">
        <v>71</v>
      </c>
      <c r="AZ2" s="6" t="s">
        <v>64</v>
      </c>
      <c r="BA2" s="6" t="s">
        <v>65</v>
      </c>
      <c r="BB2" s="6" t="s">
        <v>66</v>
      </c>
      <c r="BC2" s="6" t="s">
        <v>67</v>
      </c>
      <c r="BD2" s="6" t="s">
        <v>68</v>
      </c>
      <c r="BE2" s="6" t="s">
        <v>69</v>
      </c>
      <c r="BF2" s="6" t="s">
        <v>71</v>
      </c>
    </row>
    <row r="3" spans="1:59">
      <c r="A3" s="103" t="s">
        <v>19</v>
      </c>
      <c r="B3" s="9">
        <v>3.024</v>
      </c>
      <c r="C3" s="10"/>
      <c r="D3" s="10"/>
      <c r="E3" s="10"/>
      <c r="F3" s="11"/>
      <c r="G3" s="10"/>
      <c r="H3" s="10"/>
      <c r="I3" s="10"/>
      <c r="J3" s="2">
        <v>21.213999999999999</v>
      </c>
      <c r="K3" s="12"/>
      <c r="L3" s="13">
        <f>-B3*(J3+K3)</f>
        <v>-64.151135999999994</v>
      </c>
      <c r="M3" s="1">
        <v>29.524000000000001</v>
      </c>
      <c r="N3" s="12">
        <f>M3*B3</f>
        <v>89.280575999999996</v>
      </c>
      <c r="O3" s="12">
        <f>L3+N3</f>
        <v>25.129440000000002</v>
      </c>
      <c r="P3" s="14">
        <f>(N3-O3)/N3</f>
        <v>0.71853407397371627</v>
      </c>
      <c r="Q3" s="85"/>
      <c r="R3" s="3">
        <v>611.26900000000001</v>
      </c>
      <c r="S3" s="23">
        <f t="shared" ref="S3:S13" si="0">-B3*(Q3+R3)</f>
        <v>-1848.4774560000001</v>
      </c>
      <c r="T3" s="3">
        <v>720</v>
      </c>
      <c r="U3" s="24">
        <f t="shared" ref="U3:U12" si="1">B3*T3</f>
        <v>2177.2800000000002</v>
      </c>
      <c r="V3" s="24">
        <f>S3+U3</f>
        <v>328.80254400000013</v>
      </c>
      <c r="W3" s="25">
        <f t="shared" ref="W3:W14" si="2">(U3-V3)/U3</f>
        <v>0.84898472222222221</v>
      </c>
      <c r="X3" s="49"/>
      <c r="Y3" s="3">
        <v>675.23699999999997</v>
      </c>
      <c r="Z3" s="23">
        <f>-B3*(X3+Y3)</f>
        <v>-2041.916688</v>
      </c>
      <c r="AA3" s="3">
        <v>853.03800000000001</v>
      </c>
      <c r="AB3" s="24">
        <f>B3*AA3</f>
        <v>2579.5869120000002</v>
      </c>
      <c r="AC3" s="24">
        <f t="shared" ref="AC3:AC12" si="3">Z3+AB3</f>
        <v>537.67022400000019</v>
      </c>
      <c r="AD3" s="25">
        <f t="shared" ref="AD3:AD14" si="4">(AB3-AC3)/AB3</f>
        <v>0.79156731587572882</v>
      </c>
      <c r="AE3" s="49">
        <v>498.12900000000002</v>
      </c>
      <c r="AF3" s="3">
        <v>249.76900000000001</v>
      </c>
      <c r="AG3" s="23">
        <f>-B3*(AE3+AF3)</f>
        <v>-2261.643552</v>
      </c>
      <c r="AH3" s="3">
        <v>1066.9880000000001</v>
      </c>
      <c r="AI3" s="24">
        <f>B3*AH3</f>
        <v>3226.5717120000004</v>
      </c>
      <c r="AJ3" s="24">
        <f t="shared" ref="AJ3" si="5">AG3+AI3</f>
        <v>964.92816000000039</v>
      </c>
      <c r="AK3" s="25">
        <f t="shared" ref="AK3" si="6">(AI3-AJ3)/AI3</f>
        <v>0.70094321585622321</v>
      </c>
      <c r="AL3" s="49"/>
      <c r="AM3" s="49">
        <v>985.39400000000001</v>
      </c>
      <c r="AN3" s="23">
        <f>-$B$3*(AL3+AM3)</f>
        <v>-2979.8314559999999</v>
      </c>
      <c r="AO3" s="3">
        <v>1083.056</v>
      </c>
      <c r="AP3" s="24">
        <f>$B$3*AO3</f>
        <v>3275.1613440000001</v>
      </c>
      <c r="AQ3" s="24">
        <f t="shared" ref="AQ3:AQ4" si="7">AN3+AP3</f>
        <v>295.32988800000021</v>
      </c>
      <c r="AR3" s="25">
        <f t="shared" ref="AR3:AR10" si="8">IF(AP3=0,0,(AP3-AQ3)/AP3)</f>
        <v>0.90982737734706232</v>
      </c>
      <c r="AS3" s="49"/>
      <c r="AT3" s="49">
        <v>929.46199999999999</v>
      </c>
      <c r="AU3" s="23">
        <f>-$B$3*(AS3+AT3)</f>
        <v>-2810.693088</v>
      </c>
      <c r="AV3" s="3">
        <v>1013.26</v>
      </c>
      <c r="AW3" s="24">
        <f>$B$3*AV3</f>
        <v>3064.0982399999998</v>
      </c>
      <c r="AX3" s="24">
        <f t="shared" ref="AX3:AX13" si="9">AU3+AW3</f>
        <v>253.40515199999982</v>
      </c>
      <c r="AY3" s="25">
        <f t="shared" ref="AY3:AY10" si="10">IF(AW3=0,0,(AW3-AX3)/AW3)</f>
        <v>0.91729862029488984</v>
      </c>
      <c r="AZ3" s="49"/>
      <c r="BA3" s="49">
        <v>806.93700000000001</v>
      </c>
      <c r="BB3" s="23">
        <f>-$B$3*(AZ3+BA3)</f>
        <v>-2440.1774880000003</v>
      </c>
      <c r="BC3" s="3">
        <v>831.12199999999996</v>
      </c>
      <c r="BD3" s="24">
        <f>$B$3*BC3</f>
        <v>2513.3129279999998</v>
      </c>
      <c r="BE3" s="106">
        <f t="shared" ref="BE3:BE13" si="11">BB3+BD3</f>
        <v>73.135439999999562</v>
      </c>
      <c r="BF3" s="25">
        <f t="shared" ref="BF3:BF10" si="12">IF(BD3=0,0,(BD3-BE3)/BD3)</f>
        <v>0.97090078231595378</v>
      </c>
      <c r="BG3" s="4" t="s">
        <v>72</v>
      </c>
    </row>
    <row r="4" spans="1:59">
      <c r="A4" s="103" t="s">
        <v>73</v>
      </c>
      <c r="B4" s="9">
        <f>0.1208</f>
        <v>0.1208</v>
      </c>
      <c r="C4" s="10"/>
      <c r="D4" s="11">
        <v>743.71699999999998</v>
      </c>
      <c r="E4" s="15">
        <f>-B4*D4</f>
        <v>-89.841013599999997</v>
      </c>
      <c r="F4" s="11">
        <v>743.71699999999998</v>
      </c>
      <c r="G4" s="10">
        <f>F4*B4</f>
        <v>89.841013599999997</v>
      </c>
      <c r="H4" s="10">
        <f>E4+G4</f>
        <v>0</v>
      </c>
      <c r="I4" s="14">
        <f>(G4-H4)/G4</f>
        <v>1</v>
      </c>
      <c r="J4" s="2"/>
      <c r="K4" s="12"/>
      <c r="L4" s="13"/>
      <c r="M4" s="1"/>
      <c r="N4" s="12"/>
      <c r="O4" s="12"/>
      <c r="P4" s="14"/>
      <c r="Q4" s="85"/>
      <c r="R4" s="1"/>
      <c r="S4" s="13"/>
      <c r="T4" s="1"/>
      <c r="U4" s="12"/>
      <c r="V4" s="12"/>
      <c r="W4" s="14"/>
      <c r="X4" s="85"/>
      <c r="Y4" s="1"/>
      <c r="Z4" s="13"/>
      <c r="AA4" s="1"/>
      <c r="AB4" s="12"/>
      <c r="AC4" s="12"/>
      <c r="AD4" s="14"/>
      <c r="AE4" s="10"/>
      <c r="AF4" s="1"/>
      <c r="AG4" s="13"/>
      <c r="AH4" s="1"/>
      <c r="AI4" s="12"/>
      <c r="AJ4" s="12"/>
      <c r="AK4" s="14"/>
      <c r="AL4" s="49"/>
      <c r="AM4" s="49">
        <v>0</v>
      </c>
      <c r="AN4" s="23">
        <f>-$B$4*(AL4+AM4)</f>
        <v>0</v>
      </c>
      <c r="AO4" s="3">
        <v>0</v>
      </c>
      <c r="AP4" s="24">
        <f>$B$4*AO4</f>
        <v>0</v>
      </c>
      <c r="AQ4" s="24">
        <f t="shared" si="7"/>
        <v>0</v>
      </c>
      <c r="AR4" s="25">
        <f t="shared" si="8"/>
        <v>0</v>
      </c>
      <c r="AS4" s="49"/>
      <c r="AT4" s="49">
        <v>0</v>
      </c>
      <c r="AU4" s="23">
        <f>-$B$4*(AS4+AT4)</f>
        <v>0</v>
      </c>
      <c r="AV4" s="3">
        <v>0</v>
      </c>
      <c r="AW4" s="24">
        <f>$B$4*AV4</f>
        <v>0</v>
      </c>
      <c r="AX4" s="24">
        <f t="shared" si="9"/>
        <v>0</v>
      </c>
      <c r="AY4" s="25">
        <f t="shared" si="10"/>
        <v>0</v>
      </c>
      <c r="AZ4" s="49"/>
      <c r="BA4" s="49">
        <v>0</v>
      </c>
      <c r="BB4" s="23">
        <f>-$B$4*(AZ4+BA4)</f>
        <v>0</v>
      </c>
      <c r="BC4" s="3">
        <v>0</v>
      </c>
      <c r="BD4" s="24">
        <f>$B$4*BC4</f>
        <v>0</v>
      </c>
      <c r="BE4" s="24">
        <f t="shared" si="11"/>
        <v>0</v>
      </c>
      <c r="BF4" s="25">
        <f t="shared" si="12"/>
        <v>0</v>
      </c>
    </row>
    <row r="5" spans="1:59">
      <c r="A5" s="4" t="s">
        <v>74</v>
      </c>
      <c r="B5" s="9">
        <v>2.2280000000000002</v>
      </c>
      <c r="C5" s="10"/>
      <c r="D5" s="11">
        <v>978</v>
      </c>
      <c r="E5" s="15">
        <f>-B5*D5</f>
        <v>-2178.9840000000004</v>
      </c>
      <c r="F5" s="11">
        <v>978</v>
      </c>
      <c r="G5" s="10">
        <f>F5*B5</f>
        <v>2178.9840000000004</v>
      </c>
      <c r="H5" s="10">
        <f>E5+G5</f>
        <v>0</v>
      </c>
      <c r="I5" s="14">
        <f>(G5-H5)/G5</f>
        <v>1</v>
      </c>
      <c r="J5" s="2">
        <v>961.21500000000003</v>
      </c>
      <c r="K5" s="1">
        <v>89.784999999999997</v>
      </c>
      <c r="L5" s="13">
        <f t="shared" ref="L5:L12" si="13">-B5*(J5+K5)</f>
        <v>-2341.6280000000002</v>
      </c>
      <c r="M5" s="1">
        <v>1051</v>
      </c>
      <c r="N5" s="12">
        <f>M5*B5</f>
        <v>2341.6280000000002</v>
      </c>
      <c r="O5" s="12">
        <f>L5+N5</f>
        <v>0</v>
      </c>
      <c r="P5" s="14">
        <f>(N5-O5)/N5</f>
        <v>1</v>
      </c>
      <c r="Q5" s="85"/>
      <c r="R5" s="1">
        <v>891</v>
      </c>
      <c r="S5" s="13">
        <f t="shared" si="0"/>
        <v>-1985.1480000000001</v>
      </c>
      <c r="T5" s="1">
        <v>891</v>
      </c>
      <c r="U5" s="12">
        <f t="shared" si="1"/>
        <v>1985.1480000000001</v>
      </c>
      <c r="V5" s="12">
        <f t="shared" ref="V5:V12" si="14">S5+U5</f>
        <v>0</v>
      </c>
      <c r="W5" s="14">
        <f t="shared" si="2"/>
        <v>1</v>
      </c>
      <c r="X5" s="85"/>
      <c r="Y5" s="1">
        <v>779</v>
      </c>
      <c r="Z5" s="13">
        <f t="shared" ref="Z5:Z12" si="15">-B5*(X5+Y5)</f>
        <v>-1735.6120000000001</v>
      </c>
      <c r="AA5" s="1">
        <v>779</v>
      </c>
      <c r="AB5" s="12">
        <f t="shared" ref="AB5:AB12" si="16">B5*AA5</f>
        <v>1735.6120000000001</v>
      </c>
      <c r="AC5" s="12">
        <f t="shared" si="3"/>
        <v>0</v>
      </c>
      <c r="AD5" s="14">
        <f t="shared" si="4"/>
        <v>1</v>
      </c>
      <c r="AE5" s="49"/>
      <c r="AF5" s="1">
        <v>450</v>
      </c>
      <c r="AG5" s="13">
        <f>-B5*(AE5+AF5)</f>
        <v>-1002.6000000000001</v>
      </c>
      <c r="AH5" s="1">
        <v>466</v>
      </c>
      <c r="AI5" s="12">
        <f t="shared" ref="AI5:AI13" si="17">B5*AH5</f>
        <v>1038.248</v>
      </c>
      <c r="AJ5" s="12">
        <f t="shared" ref="AJ5:AJ13" si="18">AG5+AI5</f>
        <v>35.647999999999911</v>
      </c>
      <c r="AK5" s="14">
        <f t="shared" ref="AK5:AK6" si="19">(AI5-AJ5)/AI5</f>
        <v>0.96566523605150223</v>
      </c>
      <c r="AL5" s="49"/>
      <c r="AM5" s="1"/>
      <c r="AN5" s="13">
        <f>-$B$5*(AL5+AM5)</f>
        <v>0</v>
      </c>
      <c r="AO5" s="1">
        <v>12</v>
      </c>
      <c r="AP5" s="12">
        <f>$B$5*AO5</f>
        <v>26.736000000000004</v>
      </c>
      <c r="AQ5" s="12">
        <f t="shared" ref="AQ5:AQ13" si="20">AN5+AP5</f>
        <v>26.736000000000004</v>
      </c>
      <c r="AR5" s="25">
        <f t="shared" si="8"/>
        <v>0</v>
      </c>
      <c r="AS5" s="49"/>
      <c r="AT5" s="1"/>
      <c r="AU5" s="13">
        <f>-$B$5*(AS5+AT5)</f>
        <v>0</v>
      </c>
      <c r="AV5" s="1">
        <v>0</v>
      </c>
      <c r="AW5" s="12">
        <f>$B$5*AV5</f>
        <v>0</v>
      </c>
      <c r="AX5" s="12">
        <f t="shared" si="9"/>
        <v>0</v>
      </c>
      <c r="AY5" s="25">
        <f t="shared" si="10"/>
        <v>0</v>
      </c>
      <c r="AZ5" s="49"/>
      <c r="BA5" s="1"/>
      <c r="BB5" s="13">
        <f>-$B$5*(AZ5+BA5)</f>
        <v>0</v>
      </c>
      <c r="BC5" s="1">
        <v>0</v>
      </c>
      <c r="BD5" s="12">
        <f>$B$5*BC5</f>
        <v>0</v>
      </c>
      <c r="BE5" s="12">
        <f t="shared" si="11"/>
        <v>0</v>
      </c>
      <c r="BF5" s="25">
        <f t="shared" si="12"/>
        <v>0</v>
      </c>
      <c r="BG5" s="4" t="s">
        <v>75</v>
      </c>
    </row>
    <row r="6" spans="1:59" ht="12.6" customHeight="1">
      <c r="A6" s="4" t="s">
        <v>26</v>
      </c>
      <c r="B6" s="9">
        <v>0.1108</v>
      </c>
      <c r="C6" s="10"/>
      <c r="D6" s="10"/>
      <c r="E6" s="15"/>
      <c r="F6" s="11"/>
      <c r="G6" s="10"/>
      <c r="H6" s="10"/>
      <c r="I6" s="10"/>
      <c r="J6" s="2">
        <v>728.18100000000004</v>
      </c>
      <c r="K6" s="1"/>
      <c r="L6" s="13">
        <f t="shared" si="13"/>
        <v>-80.682454800000002</v>
      </c>
      <c r="M6" s="1">
        <v>744.18100000000004</v>
      </c>
      <c r="N6" s="12">
        <f>M6*B6</f>
        <v>82.455254800000006</v>
      </c>
      <c r="O6" s="12">
        <f>L6+N6</f>
        <v>1.7728000000000037</v>
      </c>
      <c r="P6" s="50">
        <f>(N6-O6)/N6</f>
        <v>0.97849985420213625</v>
      </c>
      <c r="Q6" s="85"/>
      <c r="R6" s="1">
        <v>549</v>
      </c>
      <c r="S6" s="13">
        <f t="shared" si="0"/>
        <v>-60.8292</v>
      </c>
      <c r="T6" s="1">
        <v>720</v>
      </c>
      <c r="U6" s="12">
        <f t="shared" si="1"/>
        <v>79.775999999999996</v>
      </c>
      <c r="V6" s="12">
        <f t="shared" si="14"/>
        <v>18.946799999999996</v>
      </c>
      <c r="W6" s="50">
        <f t="shared" si="2"/>
        <v>0.76250000000000007</v>
      </c>
      <c r="X6" s="85"/>
      <c r="Y6" s="1">
        <v>539</v>
      </c>
      <c r="Z6" s="13">
        <f t="shared" si="15"/>
        <v>-59.721199999999996</v>
      </c>
      <c r="AA6" s="1">
        <v>744</v>
      </c>
      <c r="AB6" s="12">
        <f t="shared" si="16"/>
        <v>82.435199999999995</v>
      </c>
      <c r="AC6" s="12">
        <f t="shared" si="3"/>
        <v>22.713999999999999</v>
      </c>
      <c r="AD6" s="50">
        <f t="shared" si="4"/>
        <v>0.72446236559139787</v>
      </c>
      <c r="AE6" s="1">
        <v>232.68</v>
      </c>
      <c r="AF6" s="49">
        <v>215</v>
      </c>
      <c r="AG6" s="13">
        <f>-B6*(AE6+AF6)</f>
        <v>-49.602944000000001</v>
      </c>
      <c r="AH6" s="1">
        <v>744</v>
      </c>
      <c r="AI6" s="12">
        <f t="shared" si="17"/>
        <v>82.435199999999995</v>
      </c>
      <c r="AJ6" s="12">
        <f t="shared" si="18"/>
        <v>32.832255999999994</v>
      </c>
      <c r="AK6" s="50">
        <f t="shared" si="19"/>
        <v>0.60172043010752696</v>
      </c>
      <c r="AL6" s="1">
        <v>0</v>
      </c>
      <c r="AM6" s="49">
        <v>744</v>
      </c>
      <c r="AN6" s="13">
        <f>-$B$6*(AL6+AM6)</f>
        <v>-82.435199999999995</v>
      </c>
      <c r="AO6" s="1">
        <v>744</v>
      </c>
      <c r="AP6" s="12">
        <f>$B$6*AO6</f>
        <v>82.435199999999995</v>
      </c>
      <c r="AQ6" s="12">
        <f t="shared" si="20"/>
        <v>0</v>
      </c>
      <c r="AR6" s="25">
        <f t="shared" si="8"/>
        <v>1</v>
      </c>
      <c r="AS6" s="1">
        <v>0</v>
      </c>
      <c r="AT6" s="49">
        <v>720</v>
      </c>
      <c r="AU6" s="13">
        <f>-$B$6*(AS6+AT6)</f>
        <v>-79.775999999999996</v>
      </c>
      <c r="AV6" s="1">
        <v>720</v>
      </c>
      <c r="AW6" s="12">
        <f>$B$6*AV6</f>
        <v>79.775999999999996</v>
      </c>
      <c r="AX6" s="12">
        <f t="shared" si="9"/>
        <v>0</v>
      </c>
      <c r="AY6" s="25">
        <f t="shared" si="10"/>
        <v>1</v>
      </c>
      <c r="AZ6" s="1">
        <v>0</v>
      </c>
      <c r="BA6" s="49">
        <v>744</v>
      </c>
      <c r="BB6" s="13">
        <f>-$B$6*(AZ6+BA6)</f>
        <v>-82.435199999999995</v>
      </c>
      <c r="BC6" s="1">
        <v>744</v>
      </c>
      <c r="BD6" s="12">
        <f>$B$6*BC6</f>
        <v>82.435199999999995</v>
      </c>
      <c r="BE6" s="12">
        <f t="shared" si="11"/>
        <v>0</v>
      </c>
      <c r="BF6" s="25">
        <f t="shared" si="12"/>
        <v>1</v>
      </c>
      <c r="BG6" s="4" t="s">
        <v>76</v>
      </c>
    </row>
    <row r="7" spans="1:59" ht="13.9" customHeight="1">
      <c r="A7" s="4" t="s">
        <v>77</v>
      </c>
      <c r="B7" s="9">
        <v>0.24</v>
      </c>
      <c r="C7" s="10"/>
      <c r="D7" s="11">
        <v>744</v>
      </c>
      <c r="E7" s="15">
        <f>-B7*D7</f>
        <v>-178.56</v>
      </c>
      <c r="F7" s="11">
        <v>744</v>
      </c>
      <c r="G7" s="10">
        <f>F7*B7</f>
        <v>178.56</v>
      </c>
      <c r="H7" s="10">
        <f>E7+G7</f>
        <v>0</v>
      </c>
      <c r="I7" s="14">
        <f>(G7-H7)/G7</f>
        <v>1</v>
      </c>
      <c r="J7" s="2"/>
      <c r="K7" s="1"/>
      <c r="L7" s="13">
        <f t="shared" si="13"/>
        <v>0</v>
      </c>
      <c r="M7" s="1"/>
      <c r="N7" s="1"/>
      <c r="O7" s="1"/>
      <c r="P7" s="1"/>
      <c r="Q7" s="85"/>
      <c r="R7" s="1"/>
      <c r="S7" s="13">
        <f t="shared" si="0"/>
        <v>0</v>
      </c>
      <c r="T7" s="1"/>
      <c r="U7" s="12">
        <f t="shared" si="1"/>
        <v>0</v>
      </c>
      <c r="V7" s="12">
        <f t="shared" si="14"/>
        <v>0</v>
      </c>
      <c r="W7" s="14"/>
      <c r="X7" s="85"/>
      <c r="Y7" s="1">
        <v>5.0999999999999997E-2</v>
      </c>
      <c r="Z7" s="13">
        <f t="shared" si="15"/>
        <v>-1.2239999999999999E-2</v>
      </c>
      <c r="AA7" s="1">
        <v>5.0999999999999997E-2</v>
      </c>
      <c r="AB7" s="12">
        <f t="shared" si="16"/>
        <v>1.2239999999999999E-2</v>
      </c>
      <c r="AC7" s="12">
        <f t="shared" si="3"/>
        <v>0</v>
      </c>
      <c r="AD7" s="14"/>
      <c r="AE7" s="49"/>
      <c r="AF7" s="1">
        <v>5.0999999999999997E-2</v>
      </c>
      <c r="AG7" s="13">
        <f>-B7*(AE7+AF7)</f>
        <v>-1.2239999999999999E-2</v>
      </c>
      <c r="AH7" s="1">
        <v>5.0999999999999997E-2</v>
      </c>
      <c r="AI7" s="12">
        <f t="shared" si="17"/>
        <v>1.2239999999999999E-2</v>
      </c>
      <c r="AJ7" s="12">
        <f t="shared" si="18"/>
        <v>0</v>
      </c>
      <c r="AK7" s="14"/>
      <c r="AL7" s="49"/>
      <c r="AM7" s="1">
        <v>0</v>
      </c>
      <c r="AN7" s="13">
        <f>-$B$7*(AL7+AM7)</f>
        <v>0</v>
      </c>
      <c r="AO7" s="1">
        <v>0</v>
      </c>
      <c r="AP7" s="12">
        <f>$B$7*AO7</f>
        <v>0</v>
      </c>
      <c r="AQ7" s="12">
        <f t="shared" si="20"/>
        <v>0</v>
      </c>
      <c r="AR7" s="25">
        <f t="shared" si="8"/>
        <v>0</v>
      </c>
      <c r="AS7" s="49"/>
      <c r="AT7" s="1">
        <v>0</v>
      </c>
      <c r="AU7" s="13">
        <f>-$B$7*(AS7+AT7)</f>
        <v>0</v>
      </c>
      <c r="AV7" s="1">
        <v>0</v>
      </c>
      <c r="AW7" s="12">
        <f>$B$7*AV7</f>
        <v>0</v>
      </c>
      <c r="AX7" s="12">
        <f t="shared" si="9"/>
        <v>0</v>
      </c>
      <c r="AY7" s="25">
        <f t="shared" si="10"/>
        <v>0</v>
      </c>
      <c r="AZ7" s="49"/>
      <c r="BA7" s="1">
        <v>0</v>
      </c>
      <c r="BB7" s="13">
        <f>-$B$7*(AZ7+BA7)</f>
        <v>0</v>
      </c>
      <c r="BC7" s="1">
        <v>0</v>
      </c>
      <c r="BD7" s="12">
        <f>$B$7*BC7</f>
        <v>0</v>
      </c>
      <c r="BE7" s="12">
        <f t="shared" si="11"/>
        <v>0</v>
      </c>
      <c r="BF7" s="25">
        <f t="shared" si="12"/>
        <v>0</v>
      </c>
    </row>
    <row r="8" spans="1:59" ht="19.149999999999999" customHeight="1">
      <c r="A8" s="4" t="s">
        <v>30</v>
      </c>
      <c r="B8" s="9">
        <v>0.872</v>
      </c>
      <c r="C8" s="10"/>
      <c r="D8" s="10"/>
      <c r="E8" s="15"/>
      <c r="F8" s="11"/>
      <c r="G8" s="10"/>
      <c r="H8" s="10"/>
      <c r="I8" s="10"/>
      <c r="J8" s="4">
        <v>0.113</v>
      </c>
      <c r="K8" s="1"/>
      <c r="L8" s="13">
        <f>-B8*(J8+K8)</f>
        <v>-9.8535999999999999E-2</v>
      </c>
      <c r="M8" s="1">
        <v>298.85700000000003</v>
      </c>
      <c r="N8" s="12">
        <f>M8*B8</f>
        <v>260.60330400000004</v>
      </c>
      <c r="O8" s="12">
        <f>L8+N8</f>
        <v>260.50476800000001</v>
      </c>
      <c r="P8" s="50">
        <f>(N8-O8)/N8</f>
        <v>3.781072553094881E-4</v>
      </c>
      <c r="Q8" s="85"/>
      <c r="R8" s="1">
        <v>0.13400000000000001</v>
      </c>
      <c r="S8" s="13">
        <f t="shared" si="0"/>
        <v>-0.11684800000000001</v>
      </c>
      <c r="T8" s="1">
        <v>879.81200000000001</v>
      </c>
      <c r="U8" s="12">
        <f t="shared" si="1"/>
        <v>767.19606399999998</v>
      </c>
      <c r="V8" s="12">
        <f t="shared" si="14"/>
        <v>767.07921599999997</v>
      </c>
      <c r="W8" s="50">
        <f t="shared" si="2"/>
        <v>1.5230526521575651E-4</v>
      </c>
      <c r="X8" s="85"/>
      <c r="Y8" s="1">
        <v>61.92</v>
      </c>
      <c r="Z8" s="13">
        <f t="shared" si="15"/>
        <v>-53.994239999999998</v>
      </c>
      <c r="AA8" s="1">
        <v>774.47299999999996</v>
      </c>
      <c r="AB8" s="12">
        <f t="shared" si="16"/>
        <v>675.3404559999999</v>
      </c>
      <c r="AC8" s="12">
        <f t="shared" si="3"/>
        <v>621.34621599999991</v>
      </c>
      <c r="AD8" s="50">
        <f t="shared" si="4"/>
        <v>7.9951140969407586E-2</v>
      </c>
      <c r="AE8" s="49">
        <v>153.381</v>
      </c>
      <c r="AF8" s="1">
        <v>215</v>
      </c>
      <c r="AG8" s="13">
        <f>-B8*(AE8+AF8)</f>
        <v>-321.22823199999999</v>
      </c>
      <c r="AH8" s="1">
        <v>1016.275</v>
      </c>
      <c r="AI8" s="12">
        <f t="shared" si="17"/>
        <v>886.19179999999994</v>
      </c>
      <c r="AJ8" s="12">
        <f t="shared" si="18"/>
        <v>564.9635679999999</v>
      </c>
      <c r="AK8" s="50">
        <f t="shared" ref="AK8:AK10" si="21">(AI8-AJ8)/AI8</f>
        <v>0.36248161176846827</v>
      </c>
      <c r="AL8" s="49"/>
      <c r="AM8" s="1">
        <v>744</v>
      </c>
      <c r="AN8" s="13">
        <f>-$B$8*(AL8+AM8)</f>
        <v>-648.76800000000003</v>
      </c>
      <c r="AO8" s="1">
        <v>751.1</v>
      </c>
      <c r="AP8" s="12">
        <f>$B$8*AO8</f>
        <v>654.95920000000001</v>
      </c>
      <c r="AQ8" s="12">
        <f t="shared" si="20"/>
        <v>6.1911999999999807</v>
      </c>
      <c r="AR8" s="25">
        <f t="shared" si="8"/>
        <v>0.99054719744374919</v>
      </c>
      <c r="AS8" s="49"/>
      <c r="AT8" s="1">
        <v>720</v>
      </c>
      <c r="AU8" s="13">
        <f>-$B$8*(AS8+AT8)</f>
        <v>-627.84</v>
      </c>
      <c r="AV8" s="1">
        <v>720</v>
      </c>
      <c r="AW8" s="12">
        <f>$B$8*AV8</f>
        <v>627.84</v>
      </c>
      <c r="AX8" s="12">
        <f t="shared" si="9"/>
        <v>0</v>
      </c>
      <c r="AY8" s="25">
        <f t="shared" si="10"/>
        <v>1</v>
      </c>
      <c r="AZ8" s="49"/>
      <c r="BA8" s="1">
        <v>744</v>
      </c>
      <c r="BB8" s="13">
        <f>-$B$8*(AZ8+BA8)</f>
        <v>-648.76800000000003</v>
      </c>
      <c r="BC8" s="1">
        <v>744</v>
      </c>
      <c r="BD8" s="12">
        <f>$B$8*BC8</f>
        <v>648.76800000000003</v>
      </c>
      <c r="BE8" s="12">
        <f t="shared" si="11"/>
        <v>0</v>
      </c>
      <c r="BF8" s="25">
        <f t="shared" si="12"/>
        <v>1</v>
      </c>
      <c r="BG8" s="4" t="s">
        <v>76</v>
      </c>
    </row>
    <row r="9" spans="1:59">
      <c r="A9" s="4" t="s">
        <v>78</v>
      </c>
      <c r="B9" s="9">
        <v>0.872</v>
      </c>
      <c r="C9" s="10"/>
      <c r="D9" s="10"/>
      <c r="E9" s="15"/>
      <c r="F9" s="11"/>
      <c r="G9" s="10"/>
      <c r="H9" s="10"/>
      <c r="I9" s="10"/>
      <c r="J9" s="2">
        <v>0.22900000000000001</v>
      </c>
      <c r="K9" s="1"/>
      <c r="L9" s="13">
        <f t="shared" si="13"/>
        <v>-0.199688</v>
      </c>
      <c r="M9" s="1">
        <v>15.858000000000001</v>
      </c>
      <c r="N9" s="12">
        <f>M9*B9</f>
        <v>13.828176000000001</v>
      </c>
      <c r="O9" s="12">
        <f>L9+N9</f>
        <v>13.628488000000001</v>
      </c>
      <c r="P9" s="14">
        <f>(N9-O9)/N9</f>
        <v>1.4440660865178465E-2</v>
      </c>
      <c r="Q9" s="85"/>
      <c r="R9" s="1">
        <v>0</v>
      </c>
      <c r="S9" s="13">
        <f t="shared" si="0"/>
        <v>0</v>
      </c>
      <c r="T9" s="1">
        <v>720</v>
      </c>
      <c r="U9" s="12">
        <f t="shared" si="1"/>
        <v>627.84</v>
      </c>
      <c r="V9" s="12">
        <f t="shared" si="14"/>
        <v>627.84</v>
      </c>
      <c r="W9" s="14">
        <f t="shared" si="2"/>
        <v>0</v>
      </c>
      <c r="X9" s="85"/>
      <c r="Y9" s="1">
        <v>0</v>
      </c>
      <c r="Z9" s="13">
        <f t="shared" si="15"/>
        <v>0</v>
      </c>
      <c r="AA9" s="1">
        <v>216.28100000000001</v>
      </c>
      <c r="AB9" s="12">
        <f t="shared" si="16"/>
        <v>188.59703200000001</v>
      </c>
      <c r="AC9" s="12">
        <f t="shared" si="3"/>
        <v>188.59703200000001</v>
      </c>
      <c r="AD9" s="14">
        <f t="shared" si="4"/>
        <v>0</v>
      </c>
      <c r="AE9" s="49"/>
      <c r="AF9" s="1">
        <v>0</v>
      </c>
      <c r="AG9" s="13">
        <f>B9*(AE9+AF9)</f>
        <v>0</v>
      </c>
      <c r="AH9" s="1">
        <v>0</v>
      </c>
      <c r="AI9" s="12">
        <f t="shared" si="17"/>
        <v>0</v>
      </c>
      <c r="AJ9" s="12">
        <f t="shared" si="18"/>
        <v>0</v>
      </c>
      <c r="AK9" s="14">
        <v>0</v>
      </c>
      <c r="AL9" s="49"/>
      <c r="AM9" s="1">
        <v>0</v>
      </c>
      <c r="AN9" s="13">
        <f>$B$9*(AL9+AM9)</f>
        <v>0</v>
      </c>
      <c r="AO9" s="1">
        <v>0</v>
      </c>
      <c r="AP9" s="12">
        <f>$B$9*AO9</f>
        <v>0</v>
      </c>
      <c r="AQ9" s="12">
        <f t="shared" si="20"/>
        <v>0</v>
      </c>
      <c r="AR9" s="25">
        <f t="shared" si="8"/>
        <v>0</v>
      </c>
      <c r="AS9" s="49"/>
      <c r="AT9" s="1">
        <v>0</v>
      </c>
      <c r="AU9" s="13">
        <f>$B$9*(AS9+AT9)</f>
        <v>0</v>
      </c>
      <c r="AV9" s="1">
        <v>0</v>
      </c>
      <c r="AW9" s="12">
        <f>$B$9*AV9</f>
        <v>0</v>
      </c>
      <c r="AX9" s="12">
        <f t="shared" si="9"/>
        <v>0</v>
      </c>
      <c r="AY9" s="25">
        <f t="shared" si="10"/>
        <v>0</v>
      </c>
      <c r="AZ9" s="49"/>
      <c r="BA9" s="1">
        <v>0</v>
      </c>
      <c r="BB9" s="13">
        <f>$B$9*(AZ9+BA9)</f>
        <v>0</v>
      </c>
      <c r="BC9" s="1">
        <v>0</v>
      </c>
      <c r="BD9" s="12">
        <f>$B$9*BC9</f>
        <v>0</v>
      </c>
      <c r="BE9" s="12">
        <f t="shared" si="11"/>
        <v>0</v>
      </c>
      <c r="BF9" s="25">
        <f t="shared" si="12"/>
        <v>0</v>
      </c>
      <c r="BG9" s="20"/>
    </row>
    <row r="10" spans="1:59">
      <c r="A10" s="4" t="s">
        <v>79</v>
      </c>
      <c r="B10" s="9">
        <v>0.9</v>
      </c>
      <c r="C10" s="10"/>
      <c r="D10" s="11">
        <v>1045.5170000000001</v>
      </c>
      <c r="E10" s="15">
        <f>-B10*D10</f>
        <v>-940.96530000000007</v>
      </c>
      <c r="F10" s="11">
        <v>1709.5260000000001</v>
      </c>
      <c r="G10" s="10">
        <f>F10*B10</f>
        <v>1538.5734</v>
      </c>
      <c r="H10" s="10">
        <f>E10+G10</f>
        <v>597.60809999999992</v>
      </c>
      <c r="I10" s="50">
        <f>(G10-H10)/G10</f>
        <v>0.61158297680175677</v>
      </c>
      <c r="J10" s="2">
        <v>1198.327</v>
      </c>
      <c r="K10" s="1"/>
      <c r="L10" s="13">
        <f t="shared" si="13"/>
        <v>-1078.4943000000001</v>
      </c>
      <c r="M10" s="1">
        <v>1487.8879999999999</v>
      </c>
      <c r="N10" s="12">
        <f>M10*B10</f>
        <v>1339.0991999999999</v>
      </c>
      <c r="O10" s="12">
        <f>L10+N10</f>
        <v>260.60489999999982</v>
      </c>
      <c r="P10" s="50">
        <f>(N10-O10)/N10</f>
        <v>0.80538790554127737</v>
      </c>
      <c r="Q10" s="85"/>
      <c r="R10" s="1">
        <v>71.122</v>
      </c>
      <c r="S10" s="13">
        <f t="shared" si="0"/>
        <v>-64.009799999999998</v>
      </c>
      <c r="T10" s="1">
        <v>718.13300000000004</v>
      </c>
      <c r="U10" s="12">
        <f t="shared" si="1"/>
        <v>646.31970000000001</v>
      </c>
      <c r="V10" s="12">
        <f t="shared" si="14"/>
        <v>582.30989999999997</v>
      </c>
      <c r="W10" s="50">
        <f t="shared" si="2"/>
        <v>9.9037364944933662E-2</v>
      </c>
      <c r="X10" s="85"/>
      <c r="Y10" s="1">
        <v>124.914</v>
      </c>
      <c r="Z10" s="13">
        <f t="shared" si="15"/>
        <v>-112.4226</v>
      </c>
      <c r="AA10" s="1">
        <v>744</v>
      </c>
      <c r="AB10" s="12">
        <f t="shared" si="16"/>
        <v>669.6</v>
      </c>
      <c r="AC10" s="12">
        <f t="shared" si="3"/>
        <v>557.17740000000003</v>
      </c>
      <c r="AD10" s="50">
        <f t="shared" si="4"/>
        <v>0.16789516129032256</v>
      </c>
      <c r="AE10" s="49">
        <v>9.6039999999999992</v>
      </c>
      <c r="AF10" s="1"/>
      <c r="AG10" s="13">
        <f>-B10*(AE10+AF10)</f>
        <v>-8.6435999999999993</v>
      </c>
      <c r="AH10" s="1">
        <v>183.68</v>
      </c>
      <c r="AI10" s="12">
        <f t="shared" si="17"/>
        <v>165.31200000000001</v>
      </c>
      <c r="AJ10" s="12">
        <f t="shared" si="18"/>
        <v>156.66840000000002</v>
      </c>
      <c r="AK10" s="50">
        <f t="shared" si="21"/>
        <v>5.2286585365853608E-2</v>
      </c>
      <c r="AL10" s="49">
        <v>0</v>
      </c>
      <c r="AM10" s="1">
        <v>0</v>
      </c>
      <c r="AN10" s="13">
        <f>-$B$10*(AL10+AM10)</f>
        <v>0</v>
      </c>
      <c r="AO10" s="1">
        <v>0</v>
      </c>
      <c r="AP10" s="12">
        <f>$B$10*AO10</f>
        <v>0</v>
      </c>
      <c r="AQ10" s="12">
        <f t="shared" si="20"/>
        <v>0</v>
      </c>
      <c r="AR10" s="25">
        <f t="shared" si="8"/>
        <v>0</v>
      </c>
      <c r="AS10" s="49">
        <v>0</v>
      </c>
      <c r="AT10" s="1">
        <v>0</v>
      </c>
      <c r="AU10" s="13">
        <f>-$B$10*(AS10+AT10)</f>
        <v>0</v>
      </c>
      <c r="AV10" s="1">
        <v>0</v>
      </c>
      <c r="AW10" s="12">
        <f>$B$10*AV10</f>
        <v>0</v>
      </c>
      <c r="AX10" s="12">
        <f t="shared" si="9"/>
        <v>0</v>
      </c>
      <c r="AY10" s="25">
        <f t="shared" si="10"/>
        <v>0</v>
      </c>
      <c r="AZ10" s="49">
        <v>0</v>
      </c>
      <c r="BA10" s="1">
        <v>0</v>
      </c>
      <c r="BB10" s="13">
        <f>-$B$10*(AZ10+BA10)</f>
        <v>0</v>
      </c>
      <c r="BC10" s="1">
        <v>0</v>
      </c>
      <c r="BD10" s="12">
        <f>$B$10*BC10</f>
        <v>0</v>
      </c>
      <c r="BE10" s="12">
        <f t="shared" si="11"/>
        <v>0</v>
      </c>
      <c r="BF10" s="25">
        <f t="shared" si="12"/>
        <v>0</v>
      </c>
      <c r="BG10" s="4" t="s">
        <v>76</v>
      </c>
    </row>
    <row r="11" spans="1:59">
      <c r="A11" s="4" t="s">
        <v>23</v>
      </c>
      <c r="B11" s="9">
        <v>1.744</v>
      </c>
      <c r="C11" s="10"/>
      <c r="D11" s="10"/>
      <c r="E11" s="15"/>
      <c r="F11" s="11"/>
      <c r="G11" s="10"/>
      <c r="H11" s="10"/>
      <c r="I11" s="10"/>
      <c r="J11" s="2"/>
      <c r="K11" s="1"/>
      <c r="L11" s="13">
        <f t="shared" si="13"/>
        <v>0</v>
      </c>
      <c r="M11" s="1"/>
      <c r="N11" s="1"/>
      <c r="O11" s="1"/>
      <c r="P11" s="1"/>
      <c r="Q11" s="85"/>
      <c r="R11" s="1"/>
      <c r="S11" s="13">
        <f t="shared" si="0"/>
        <v>0</v>
      </c>
      <c r="T11" s="1">
        <v>0</v>
      </c>
      <c r="U11" s="12">
        <f t="shared" si="1"/>
        <v>0</v>
      </c>
      <c r="V11" s="12">
        <f t="shared" si="14"/>
        <v>0</v>
      </c>
      <c r="W11" s="50"/>
      <c r="X11" s="85"/>
      <c r="Y11" s="1">
        <f>0.599</f>
        <v>0.59899999999999998</v>
      </c>
      <c r="Z11" s="13">
        <f t="shared" si="15"/>
        <v>-1.044656</v>
      </c>
      <c r="AA11" s="1">
        <v>635.9</v>
      </c>
      <c r="AB11" s="12">
        <f t="shared" si="16"/>
        <v>1109.0095999999999</v>
      </c>
      <c r="AC11" s="12">
        <f t="shared" si="3"/>
        <v>1107.9649439999998</v>
      </c>
      <c r="AD11" s="50"/>
      <c r="AE11" s="49">
        <v>93.965000000000003</v>
      </c>
      <c r="AF11" s="1">
        <v>165.42</v>
      </c>
      <c r="AG11" s="13">
        <f>-B11*(AE11+AF11)</f>
        <v>-452.36743999999999</v>
      </c>
      <c r="AH11" s="1">
        <v>1044.7049999999999</v>
      </c>
      <c r="AI11" s="12">
        <f t="shared" si="17"/>
        <v>1821.96552</v>
      </c>
      <c r="AJ11" s="12">
        <f t="shared" si="18"/>
        <v>1369.59808</v>
      </c>
      <c r="AK11" s="50"/>
      <c r="AL11" s="49"/>
      <c r="AM11" s="1">
        <v>399.77199999999999</v>
      </c>
      <c r="AN11" s="13">
        <f>-$B$11*(AL11+AM11)</f>
        <v>-697.20236799999998</v>
      </c>
      <c r="AO11" s="1">
        <v>1075.954</v>
      </c>
      <c r="AP11" s="12">
        <f>$B$11*AO11</f>
        <v>1876.4637759999998</v>
      </c>
      <c r="AQ11" s="12">
        <f t="shared" si="20"/>
        <v>1179.2614079999998</v>
      </c>
      <c r="AR11" s="25">
        <f t="shared" ref="AR11:AR13" si="22">IF(AP11=0,0,(AP11-AQ11)/AP11)</f>
        <v>0.37155120014424409</v>
      </c>
      <c r="AS11" s="49"/>
      <c r="AT11" s="1">
        <v>421.30700000000002</v>
      </c>
      <c r="AU11" s="13">
        <f>-$B$11*(AS11+AT11)</f>
        <v>-734.75940800000001</v>
      </c>
      <c r="AV11" s="1">
        <v>1006.628</v>
      </c>
      <c r="AW11" s="12">
        <f>$B$11*AV11</f>
        <v>1755.5592320000001</v>
      </c>
      <c r="AX11" s="12">
        <f t="shared" si="9"/>
        <v>1020.7998240000001</v>
      </c>
      <c r="AY11" s="25">
        <f t="shared" ref="AY11:AY13" si="23">IF(AW11=0,0,(AW11-AX11)/AW11)</f>
        <v>0.418532963517804</v>
      </c>
      <c r="AZ11" s="49"/>
      <c r="BA11" s="1">
        <f>654.252</f>
        <v>654.25199999999995</v>
      </c>
      <c r="BB11" s="13">
        <f>-$B$11*(AZ11+BA11)</f>
        <v>-1141.015488</v>
      </c>
      <c r="BC11" s="1">
        <v>824.37400000000002</v>
      </c>
      <c r="BD11" s="12">
        <f>$B$11*BC11</f>
        <v>1437.7082560000001</v>
      </c>
      <c r="BE11" s="12">
        <f t="shared" si="11"/>
        <v>296.69276800000011</v>
      </c>
      <c r="BF11" s="25">
        <f t="shared" ref="BF11:BF13" si="24">IF(BD11=0,0,(BD11-BE11)/BD11)</f>
        <v>0.79363492783615197</v>
      </c>
      <c r="BG11" s="20" t="s">
        <v>76</v>
      </c>
    </row>
    <row r="12" spans="1:59">
      <c r="A12" s="4" t="s">
        <v>34</v>
      </c>
      <c r="B12" s="9">
        <v>0.67200000000000004</v>
      </c>
      <c r="C12" s="10"/>
      <c r="D12" s="11">
        <v>744</v>
      </c>
      <c r="E12" s="15">
        <f>-B12*D12</f>
        <v>-499.96800000000002</v>
      </c>
      <c r="F12" s="11">
        <v>744</v>
      </c>
      <c r="G12" s="10">
        <f>F12*B12</f>
        <v>499.96800000000002</v>
      </c>
      <c r="H12" s="10">
        <f>E12+G12</f>
        <v>0</v>
      </c>
      <c r="I12" s="14">
        <f>(G12-H12)/G12</f>
        <v>1</v>
      </c>
      <c r="J12" s="2">
        <v>422.64100000000002</v>
      </c>
      <c r="K12" s="1"/>
      <c r="L12" s="13">
        <f t="shared" si="13"/>
        <v>-284.01475200000004</v>
      </c>
      <c r="M12" s="1">
        <v>743</v>
      </c>
      <c r="N12" s="12">
        <f>M12*B12</f>
        <v>499.29600000000005</v>
      </c>
      <c r="O12" s="12">
        <f>L12+N12</f>
        <v>215.28124800000001</v>
      </c>
      <c r="P12" s="14">
        <f>(N12-O12)/N12</f>
        <v>0.56883041722745631</v>
      </c>
      <c r="Q12" s="85"/>
      <c r="R12" s="1"/>
      <c r="S12" s="13">
        <f t="shared" si="0"/>
        <v>0</v>
      </c>
      <c r="T12" s="1">
        <v>720</v>
      </c>
      <c r="U12" s="12">
        <f t="shared" si="1"/>
        <v>483.84000000000003</v>
      </c>
      <c r="V12" s="12">
        <f t="shared" si="14"/>
        <v>483.84000000000003</v>
      </c>
      <c r="W12" s="14">
        <f t="shared" si="2"/>
        <v>0</v>
      </c>
      <c r="X12" s="85"/>
      <c r="Y12" s="1">
        <v>57.475999999999999</v>
      </c>
      <c r="Z12" s="13">
        <f t="shared" si="15"/>
        <v>-38.623871999999999</v>
      </c>
      <c r="AA12" s="1">
        <v>744</v>
      </c>
      <c r="AB12" s="12">
        <f t="shared" si="16"/>
        <v>499.96800000000002</v>
      </c>
      <c r="AC12" s="12">
        <f t="shared" si="3"/>
        <v>461.34412800000001</v>
      </c>
      <c r="AD12" s="14">
        <f t="shared" si="4"/>
        <v>7.7252688172043019E-2</v>
      </c>
      <c r="AE12" s="10"/>
      <c r="AF12" s="1">
        <v>183.80099999999999</v>
      </c>
      <c r="AG12" s="13">
        <f>-B12*(AE12+AF12)</f>
        <v>-123.51427200000001</v>
      </c>
      <c r="AH12" s="1">
        <v>744</v>
      </c>
      <c r="AI12" s="12">
        <f t="shared" si="17"/>
        <v>499.96800000000002</v>
      </c>
      <c r="AJ12" s="12">
        <f t="shared" si="18"/>
        <v>376.45372800000001</v>
      </c>
      <c r="AK12" s="14">
        <f t="shared" ref="AK12:AK14" si="25">(AI12-AJ12)/AI12</f>
        <v>0.24704435483870968</v>
      </c>
      <c r="AL12" s="10"/>
      <c r="AM12" s="1">
        <v>634.58600000000001</v>
      </c>
      <c r="AN12" s="13">
        <f>-$B$12*(AL12+AM12)</f>
        <v>-426.44179200000002</v>
      </c>
      <c r="AO12" s="1">
        <v>742.25800000000004</v>
      </c>
      <c r="AP12" s="12">
        <f>$B$12*AO12</f>
        <v>498.79737600000004</v>
      </c>
      <c r="AQ12" s="12">
        <f t="shared" si="20"/>
        <v>72.355584000000022</v>
      </c>
      <c r="AR12" s="25">
        <f t="shared" si="22"/>
        <v>0.85493992654845075</v>
      </c>
      <c r="AS12" s="10"/>
      <c r="AT12" s="1">
        <v>615.52099999999996</v>
      </c>
      <c r="AU12" s="13">
        <f>-$B$12*(AS12+AT12)</f>
        <v>-413.630112</v>
      </c>
      <c r="AV12" s="1">
        <v>720</v>
      </c>
      <c r="AW12" s="12">
        <f>$B$12*AV12</f>
        <v>483.84000000000003</v>
      </c>
      <c r="AX12" s="12">
        <f t="shared" si="9"/>
        <v>70.209888000000035</v>
      </c>
      <c r="AY12" s="25">
        <f t="shared" si="23"/>
        <v>0.85489027777777771</v>
      </c>
      <c r="AZ12" s="10"/>
      <c r="BA12" s="1">
        <v>636.03800000000001</v>
      </c>
      <c r="BB12" s="13">
        <f>-$B$12*(AZ12+BA12)</f>
        <v>-427.41753600000004</v>
      </c>
      <c r="BC12" s="1">
        <v>744</v>
      </c>
      <c r="BD12" s="12">
        <f>$B$12*BC12</f>
        <v>499.96800000000002</v>
      </c>
      <c r="BE12" s="12">
        <f t="shared" si="11"/>
        <v>72.550463999999977</v>
      </c>
      <c r="BF12" s="25">
        <f t="shared" si="24"/>
        <v>0.85488978494623658</v>
      </c>
      <c r="BG12" s="4" t="s">
        <v>80</v>
      </c>
    </row>
    <row r="13" spans="1:59" ht="10.9" thickBot="1">
      <c r="A13" s="4" t="s">
        <v>81</v>
      </c>
      <c r="B13" s="9">
        <v>0.252</v>
      </c>
      <c r="C13" s="9"/>
      <c r="D13" s="18"/>
      <c r="E13" s="86"/>
      <c r="F13" s="18"/>
      <c r="G13" s="9"/>
      <c r="H13" s="9"/>
      <c r="I13" s="87"/>
      <c r="L13" s="88"/>
      <c r="N13" s="89"/>
      <c r="O13" s="89"/>
      <c r="P13" s="87"/>
      <c r="Q13" s="84"/>
      <c r="S13" s="88">
        <f t="shared" si="0"/>
        <v>0</v>
      </c>
      <c r="U13" s="89"/>
      <c r="V13" s="89"/>
      <c r="W13" s="90"/>
      <c r="X13" s="84"/>
      <c r="Z13" s="88"/>
      <c r="AB13" s="91"/>
      <c r="AC13" s="64"/>
      <c r="AD13" s="90"/>
      <c r="AE13" s="9"/>
      <c r="AF13" s="4">
        <v>4.2560000000000002</v>
      </c>
      <c r="AG13" s="88">
        <f>-B13*(AE13+AF13)</f>
        <v>-1.0725120000000001</v>
      </c>
      <c r="AH13" s="4">
        <v>4.2560000000000002</v>
      </c>
      <c r="AI13" s="91">
        <f t="shared" si="17"/>
        <v>1.0725120000000001</v>
      </c>
      <c r="AJ13" s="89">
        <f t="shared" si="18"/>
        <v>0</v>
      </c>
      <c r="AK13" s="87">
        <f t="shared" si="25"/>
        <v>1</v>
      </c>
      <c r="AL13" s="9"/>
      <c r="AM13" s="4">
        <v>0</v>
      </c>
      <c r="AN13" s="88">
        <f>-$B$13*(AL13+AM13)</f>
        <v>0</v>
      </c>
      <c r="AO13" s="4">
        <v>0</v>
      </c>
      <c r="AP13" s="91">
        <f>$B$13*AO13</f>
        <v>0</v>
      </c>
      <c r="AQ13" s="89">
        <f t="shared" si="20"/>
        <v>0</v>
      </c>
      <c r="AR13" s="25">
        <f t="shared" si="22"/>
        <v>0</v>
      </c>
      <c r="AS13" s="9"/>
      <c r="AT13" s="4">
        <v>0</v>
      </c>
      <c r="AU13" s="88">
        <f>-$B$13*(AS13+AT13)</f>
        <v>0</v>
      </c>
      <c r="AV13" s="4">
        <v>0</v>
      </c>
      <c r="AW13" s="91">
        <f>$B$13*AV13</f>
        <v>0</v>
      </c>
      <c r="AX13" s="89">
        <f t="shared" si="9"/>
        <v>0</v>
      </c>
      <c r="AY13" s="25">
        <f t="shared" si="23"/>
        <v>0</v>
      </c>
      <c r="AZ13" s="9"/>
      <c r="BA13" s="4">
        <v>0</v>
      </c>
      <c r="BB13" s="88">
        <f>-$B$13*(AZ13+BA13)</f>
        <v>0</v>
      </c>
      <c r="BC13" s="4">
        <v>0</v>
      </c>
      <c r="BD13" s="91">
        <f>$B$13*BC13</f>
        <v>0</v>
      </c>
      <c r="BE13" s="89">
        <f t="shared" si="11"/>
        <v>0</v>
      </c>
      <c r="BF13" s="25">
        <f t="shared" si="24"/>
        <v>0</v>
      </c>
      <c r="BG13" s="4" t="s">
        <v>72</v>
      </c>
    </row>
    <row r="14" spans="1:59" ht="10.9" thickTop="1">
      <c r="A14" s="4" t="s">
        <v>82</v>
      </c>
      <c r="C14" s="93">
        <f>SUM(C3:C13)</f>
        <v>0</v>
      </c>
      <c r="D14" s="100">
        <f>SUM(D3:D13)</f>
        <v>4255.2340000000004</v>
      </c>
      <c r="E14" s="94">
        <f>SUM(E3:E13)</f>
        <v>-3888.3183136000007</v>
      </c>
      <c r="F14" s="95">
        <f>SUM(F3:F13)</f>
        <v>4919.2430000000004</v>
      </c>
      <c r="G14" s="101">
        <f>SUM(G4:G13)</f>
        <v>4485.9264136000002</v>
      </c>
      <c r="H14" s="101">
        <f>SUM(H4:H13)</f>
        <v>597.60809999999992</v>
      </c>
      <c r="I14" s="102">
        <f>(G14-H14)/G14</f>
        <v>0.86678156418521957</v>
      </c>
      <c r="J14" s="92">
        <f t="shared" ref="J14:O14" si="26">SUM(J3:J13)</f>
        <v>3331.9200000000005</v>
      </c>
      <c r="K14" s="92">
        <f t="shared" si="26"/>
        <v>89.784999999999997</v>
      </c>
      <c r="L14" s="94">
        <f t="shared" si="26"/>
        <v>-3849.2688668000001</v>
      </c>
      <c r="M14" s="92">
        <f t="shared" si="26"/>
        <v>4370.308</v>
      </c>
      <c r="N14" s="96">
        <f t="shared" si="26"/>
        <v>4626.190510800001</v>
      </c>
      <c r="O14" s="96">
        <f t="shared" si="26"/>
        <v>776.92164399999979</v>
      </c>
      <c r="P14" s="102">
        <f>(N14-O14)/N14</f>
        <v>0.83206017084980621</v>
      </c>
      <c r="Q14" s="93">
        <f t="shared" ref="Q14:V14" si="27">SUM(Q3:Q13)</f>
        <v>0</v>
      </c>
      <c r="R14" s="92">
        <f t="shared" si="27"/>
        <v>2122.5250000000001</v>
      </c>
      <c r="S14" s="94">
        <f t="shared" si="27"/>
        <v>-3958.5813040000003</v>
      </c>
      <c r="T14" s="92">
        <f t="shared" si="27"/>
        <v>5368.9449999999997</v>
      </c>
      <c r="U14" s="96">
        <f t="shared" si="27"/>
        <v>6767.3997639999998</v>
      </c>
      <c r="V14" s="96">
        <f t="shared" si="27"/>
        <v>2808.8184600000004</v>
      </c>
      <c r="W14" s="99">
        <f t="shared" si="2"/>
        <v>0.58494864232170096</v>
      </c>
      <c r="X14" s="93">
        <f t="shared" ref="X14:AC14" si="28">SUM(X3:X13)</f>
        <v>0</v>
      </c>
      <c r="Y14" s="92">
        <f t="shared" si="28"/>
        <v>2238.1970000000006</v>
      </c>
      <c r="Z14" s="94">
        <f t="shared" si="28"/>
        <v>-4043.3474960000003</v>
      </c>
      <c r="AA14" s="92">
        <f t="shared" si="28"/>
        <v>5490.7429999999995</v>
      </c>
      <c r="AB14" s="97">
        <f t="shared" si="28"/>
        <v>7540.1614399999989</v>
      </c>
      <c r="AC14" s="98">
        <f t="shared" si="28"/>
        <v>3496.813944</v>
      </c>
      <c r="AD14" s="99">
        <f t="shared" si="4"/>
        <v>0.53624150201219023</v>
      </c>
      <c r="AE14" s="93">
        <f t="shared" ref="AE14:AJ14" si="29">SUM(AE3:AE13)</f>
        <v>987.75900000000001</v>
      </c>
      <c r="AF14" s="92">
        <f t="shared" si="29"/>
        <v>1483.2970000000003</v>
      </c>
      <c r="AG14" s="94">
        <f t="shared" si="29"/>
        <v>-4220.684792</v>
      </c>
      <c r="AH14" s="92">
        <f t="shared" si="29"/>
        <v>5269.9550000000008</v>
      </c>
      <c r="AI14" s="97">
        <f t="shared" si="29"/>
        <v>7721.7769839999992</v>
      </c>
      <c r="AJ14" s="98">
        <f t="shared" si="29"/>
        <v>3501.0921920000001</v>
      </c>
      <c r="AK14" s="99">
        <f t="shared" si="25"/>
        <v>0.54659501313564474</v>
      </c>
      <c r="AL14" s="93">
        <f t="shared" ref="AL14:AQ14" si="30">SUM(AL3:AL13)</f>
        <v>0</v>
      </c>
      <c r="AM14" s="92">
        <f t="shared" si="30"/>
        <v>3507.7520000000004</v>
      </c>
      <c r="AN14" s="94">
        <f t="shared" si="30"/>
        <v>-4834.6788159999996</v>
      </c>
      <c r="AO14" s="92">
        <f t="shared" si="30"/>
        <v>4408.3679999999995</v>
      </c>
      <c r="AP14" s="97">
        <f t="shared" si="30"/>
        <v>6414.5528960000001</v>
      </c>
      <c r="AQ14" s="98">
        <f t="shared" si="30"/>
        <v>1579.87408</v>
      </c>
      <c r="AR14" s="99">
        <f t="shared" ref="AR14" si="31">(AP14-AQ14)/AP14</f>
        <v>0.7537047233665839</v>
      </c>
      <c r="AS14" s="93">
        <f t="shared" ref="AS14:AX14" si="32">SUM(AS3:AS13)</f>
        <v>0</v>
      </c>
      <c r="AT14" s="92">
        <f t="shared" si="32"/>
        <v>3406.29</v>
      </c>
      <c r="AU14" s="94">
        <f t="shared" si="32"/>
        <v>-4666.6986079999997</v>
      </c>
      <c r="AV14" s="92">
        <f t="shared" si="32"/>
        <v>4179.8880000000008</v>
      </c>
      <c r="AW14" s="97">
        <f t="shared" si="32"/>
        <v>6011.113472</v>
      </c>
      <c r="AX14" s="98">
        <f t="shared" si="32"/>
        <v>1344.4148640000001</v>
      </c>
      <c r="AY14" s="99">
        <f t="shared" ref="AY14" si="33">(AW14-AX14)/AW14</f>
        <v>0.77634511970829745</v>
      </c>
      <c r="AZ14" s="93">
        <f t="shared" ref="AZ14:BE14" si="34">SUM(AZ3:AZ13)</f>
        <v>0</v>
      </c>
      <c r="BA14" s="92">
        <f t="shared" si="34"/>
        <v>3585.2269999999999</v>
      </c>
      <c r="BB14" s="94">
        <f t="shared" si="34"/>
        <v>-4739.8137120000001</v>
      </c>
      <c r="BC14" s="92">
        <f t="shared" si="34"/>
        <v>3887.4960000000001</v>
      </c>
      <c r="BD14" s="97">
        <f t="shared" si="34"/>
        <v>5182.1923839999999</v>
      </c>
      <c r="BE14" s="98">
        <f t="shared" si="34"/>
        <v>442.37867199999965</v>
      </c>
      <c r="BF14" s="99">
        <f t="shared" ref="BF14" si="35">(BD14-BE14)/BD14</f>
        <v>0.91463484193179656</v>
      </c>
    </row>
    <row r="15" spans="1:59">
      <c r="A15" s="4" t="s">
        <v>83</v>
      </c>
      <c r="B15" s="4" t="s">
        <v>84</v>
      </c>
      <c r="H15" s="20">
        <v>2773.19</v>
      </c>
      <c r="L15" s="17"/>
      <c r="N15" s="18">
        <v>744</v>
      </c>
      <c r="O15" s="20">
        <v>2942.52</v>
      </c>
      <c r="P15" s="19"/>
      <c r="S15" s="17"/>
      <c r="U15" s="4">
        <v>722</v>
      </c>
      <c r="V15" s="20">
        <v>2847.6</v>
      </c>
      <c r="W15" s="21"/>
      <c r="Z15" s="17"/>
      <c r="AB15" s="18">
        <v>744</v>
      </c>
      <c r="AC15" s="17">
        <v>2942.52</v>
      </c>
      <c r="AD15" s="19"/>
      <c r="AG15" s="17"/>
      <c r="AI15" s="18">
        <v>526</v>
      </c>
      <c r="AJ15" s="17">
        <v>2080.33</v>
      </c>
      <c r="AK15" s="19"/>
      <c r="AN15" s="17"/>
      <c r="AP15" s="18"/>
      <c r="AQ15" s="17"/>
      <c r="AR15" s="19"/>
      <c r="AU15" s="17"/>
      <c r="AW15" s="18"/>
      <c r="AX15" s="17"/>
      <c r="AY15" s="19"/>
      <c r="BB15" s="17"/>
      <c r="BD15" s="18"/>
      <c r="BE15" s="17"/>
      <c r="BF15" s="19"/>
    </row>
    <row r="16" spans="1:59" ht="9" customHeight="1">
      <c r="A16" s="4" t="s">
        <v>85</v>
      </c>
      <c r="H16" s="20"/>
      <c r="L16" s="17"/>
      <c r="N16" s="18"/>
      <c r="O16" s="20"/>
      <c r="P16" s="19"/>
      <c r="S16" s="17"/>
      <c r="V16" s="20"/>
      <c r="W16" s="21"/>
      <c r="Z16" s="17"/>
      <c r="AB16" s="18"/>
      <c r="AC16" s="17"/>
      <c r="AD16" s="19"/>
      <c r="AG16" s="17"/>
      <c r="AI16" s="18">
        <v>215</v>
      </c>
      <c r="AJ16" s="17">
        <v>147.49</v>
      </c>
      <c r="AK16" s="19"/>
      <c r="AN16" s="17"/>
      <c r="AP16" s="18">
        <v>744</v>
      </c>
      <c r="AQ16" s="17">
        <v>510.38</v>
      </c>
      <c r="AR16" s="19"/>
      <c r="AU16" s="17"/>
      <c r="AW16" s="18">
        <v>720</v>
      </c>
      <c r="AX16" s="17">
        <v>493.92</v>
      </c>
      <c r="AY16" s="19"/>
      <c r="BB16" s="17"/>
      <c r="BD16" s="18">
        <v>744</v>
      </c>
      <c r="BE16" s="17">
        <v>510.38</v>
      </c>
      <c r="BF16" s="19"/>
    </row>
    <row r="17" spans="1:59" ht="9" customHeight="1">
      <c r="A17" s="4" t="s">
        <v>86</v>
      </c>
      <c r="H17" s="20"/>
      <c r="L17" s="17"/>
      <c r="N17" s="18"/>
      <c r="O17" s="20"/>
      <c r="P17" s="19"/>
      <c r="S17" s="17"/>
      <c r="V17" s="20"/>
      <c r="W17" s="21"/>
      <c r="Z17" s="17"/>
      <c r="AB17" s="18"/>
      <c r="AC17" s="17"/>
      <c r="AD17" s="19"/>
      <c r="AG17" s="17"/>
      <c r="AI17" s="18">
        <v>215</v>
      </c>
      <c r="AJ17" s="17">
        <v>17.16</v>
      </c>
      <c r="AK17" s="19"/>
      <c r="AN17" s="17"/>
      <c r="AP17" s="18">
        <v>744</v>
      </c>
      <c r="AQ17" s="17">
        <v>59.37</v>
      </c>
      <c r="AR17" s="19"/>
      <c r="AU17" s="17"/>
      <c r="AW17" s="18">
        <v>720</v>
      </c>
      <c r="AX17" s="17">
        <v>57.46</v>
      </c>
      <c r="AY17" s="19"/>
      <c r="BB17" s="17"/>
      <c r="BD17" s="18">
        <v>744</v>
      </c>
      <c r="BE17" s="17">
        <v>59.37</v>
      </c>
      <c r="BF17" s="19"/>
    </row>
    <row r="18" spans="1:59" ht="9" customHeight="1">
      <c r="A18" s="4" t="s">
        <v>87</v>
      </c>
      <c r="H18" s="20"/>
      <c r="L18" s="17"/>
      <c r="N18" s="18"/>
      <c r="O18" s="20"/>
      <c r="P18" s="19"/>
      <c r="S18" s="17"/>
      <c r="V18" s="20"/>
      <c r="W18" s="21"/>
      <c r="Z18" s="17"/>
      <c r="AB18" s="18"/>
      <c r="AC18" s="17"/>
      <c r="AD18" s="19"/>
      <c r="AG18" s="17"/>
      <c r="AI18" s="18">
        <v>215</v>
      </c>
      <c r="AJ18" s="17">
        <v>116.53</v>
      </c>
      <c r="AK18" s="19"/>
      <c r="AN18" s="17"/>
      <c r="AP18" s="18">
        <v>744</v>
      </c>
      <c r="AQ18" s="17">
        <v>403.25</v>
      </c>
      <c r="AR18" s="19"/>
      <c r="AU18" s="17"/>
      <c r="AW18" s="18">
        <v>720</v>
      </c>
      <c r="AX18" s="17">
        <v>390.24</v>
      </c>
      <c r="AY18" s="19"/>
      <c r="BB18" s="17"/>
      <c r="BD18" s="18">
        <v>744</v>
      </c>
      <c r="BE18" s="17">
        <v>403.25</v>
      </c>
      <c r="BF18" s="19"/>
    </row>
    <row r="19" spans="1:59" ht="9" customHeight="1">
      <c r="A19" s="4" t="s">
        <v>88</v>
      </c>
      <c r="H19" s="20"/>
      <c r="L19" s="17"/>
      <c r="N19" s="18"/>
      <c r="O19" s="20"/>
      <c r="P19" s="19"/>
      <c r="S19" s="17"/>
      <c r="V19" s="20"/>
      <c r="W19" s="21"/>
      <c r="Z19" s="17"/>
      <c r="AB19" s="18"/>
      <c r="AC19" s="17"/>
      <c r="AD19" s="19"/>
      <c r="AG19" s="17"/>
      <c r="AH19" s="20"/>
      <c r="AI19" s="18">
        <v>215</v>
      </c>
      <c r="AJ19" s="17">
        <v>731.68</v>
      </c>
      <c r="AK19" s="51">
        <f>SUM(AJ16:AJ19)</f>
        <v>1012.8599999999999</v>
      </c>
      <c r="AN19" s="17"/>
      <c r="AO19" s="20"/>
      <c r="AP19" s="18">
        <v>755</v>
      </c>
      <c r="AQ19" s="17">
        <v>2531.96</v>
      </c>
      <c r="AR19" s="51"/>
      <c r="AU19" s="17"/>
      <c r="AV19" s="20"/>
      <c r="AW19" s="18">
        <v>720</v>
      </c>
      <c r="AX19" s="17">
        <v>2450.2800000000002</v>
      </c>
      <c r="AY19" s="51"/>
      <c r="BB19" s="17"/>
      <c r="BC19" s="20"/>
      <c r="BD19" s="18">
        <v>744</v>
      </c>
      <c r="BE19" s="17">
        <v>2531.96</v>
      </c>
      <c r="BF19" s="51"/>
    </row>
    <row r="20" spans="1:59" ht="9" customHeight="1">
      <c r="A20" s="4" t="s">
        <v>89</v>
      </c>
      <c r="C20" s="73"/>
      <c r="D20" s="73"/>
      <c r="E20" s="73"/>
      <c r="F20" s="73"/>
      <c r="G20" s="73"/>
      <c r="H20" s="75">
        <f>SUM(H15:H19)</f>
        <v>2773.19</v>
      </c>
      <c r="I20" s="73"/>
      <c r="J20" s="73"/>
      <c r="K20" s="73"/>
      <c r="L20" s="74"/>
      <c r="M20" s="73"/>
      <c r="N20" s="72"/>
      <c r="O20" s="75">
        <f>SUM(O15:O19)</f>
        <v>2942.52</v>
      </c>
      <c r="P20" s="76"/>
      <c r="Q20" s="73"/>
      <c r="R20" s="73"/>
      <c r="S20" s="74"/>
      <c r="T20" s="73"/>
      <c r="U20" s="73"/>
      <c r="V20" s="75">
        <f>SUM(V15:V19)</f>
        <v>2847.6</v>
      </c>
      <c r="W20" s="79"/>
      <c r="X20" s="73"/>
      <c r="Y20" s="73"/>
      <c r="Z20" s="74"/>
      <c r="AA20" s="73"/>
      <c r="AB20" s="72"/>
      <c r="AC20" s="74">
        <f>SUM(AC15:AC19)</f>
        <v>2942.52</v>
      </c>
      <c r="AD20" s="76"/>
      <c r="AE20" s="73"/>
      <c r="AF20" s="73"/>
      <c r="AG20" s="74"/>
      <c r="AH20" s="73"/>
      <c r="AI20" s="72"/>
      <c r="AJ20" s="74">
        <f>SUM(AJ15:AJ19)</f>
        <v>3093.1899999999996</v>
      </c>
      <c r="AK20" s="51"/>
      <c r="AL20" s="73"/>
      <c r="AM20" s="73"/>
      <c r="AN20" s="74"/>
      <c r="AO20" s="73"/>
      <c r="AP20" s="72"/>
      <c r="AQ20" s="74">
        <f>SUM(AQ15:AQ19)</f>
        <v>3504.96</v>
      </c>
      <c r="AR20" s="51"/>
      <c r="AS20" s="73"/>
      <c r="AT20" s="73"/>
      <c r="AU20" s="74"/>
      <c r="AV20" s="73"/>
      <c r="AW20" s="72"/>
      <c r="AX20" s="74">
        <f>SUM(AX15:AX19)</f>
        <v>3391.9</v>
      </c>
      <c r="AY20" s="51"/>
      <c r="AZ20" s="73"/>
      <c r="BA20" s="73"/>
      <c r="BB20" s="74"/>
      <c r="BC20" s="73"/>
      <c r="BD20" s="72"/>
      <c r="BE20" s="74">
        <f>SUM(BE15:BE19)</f>
        <v>3504.96</v>
      </c>
      <c r="BF20" s="51"/>
    </row>
    <row r="21" spans="1:59" ht="12">
      <c r="A21" s="27" t="s">
        <v>90</v>
      </c>
      <c r="B21" s="28"/>
      <c r="C21" s="28"/>
      <c r="D21" s="28"/>
      <c r="E21" s="28"/>
      <c r="F21" s="28"/>
      <c r="G21" s="28"/>
      <c r="H21" s="35">
        <f>H14+H20</f>
        <v>3370.7981</v>
      </c>
      <c r="I21" s="28"/>
      <c r="J21" s="28"/>
      <c r="K21" s="28"/>
      <c r="L21" s="29"/>
      <c r="M21" s="28"/>
      <c r="N21" s="30"/>
      <c r="O21" s="35">
        <f>O14+O20</f>
        <v>3719.4416439999995</v>
      </c>
      <c r="P21" s="31"/>
      <c r="Q21" s="28"/>
      <c r="R21" s="28"/>
      <c r="S21" s="29"/>
      <c r="T21" s="28"/>
      <c r="U21" s="28"/>
      <c r="V21" s="35">
        <f>V14+V20</f>
        <v>5656.4184600000008</v>
      </c>
      <c r="W21" s="32"/>
      <c r="X21" s="28"/>
      <c r="Y21" s="28"/>
      <c r="Z21" s="29"/>
      <c r="AA21" s="28"/>
      <c r="AB21" s="29"/>
      <c r="AC21" s="35">
        <f>AC14+AC20</f>
        <v>6439.333944</v>
      </c>
      <c r="AD21" s="31"/>
      <c r="AE21" s="28"/>
      <c r="AF21" s="28"/>
      <c r="AG21" s="29"/>
      <c r="AH21" s="28"/>
      <c r="AI21" s="29"/>
      <c r="AJ21" s="35">
        <f>AJ14+AJ20</f>
        <v>6594.2821919999997</v>
      </c>
      <c r="AK21" s="31"/>
      <c r="AL21" s="28"/>
      <c r="AM21" s="28"/>
      <c r="AN21" s="29"/>
      <c r="AO21" s="28"/>
      <c r="AP21" s="29"/>
      <c r="AQ21" s="35">
        <f>AQ14+AQ20</f>
        <v>5084.8340800000005</v>
      </c>
      <c r="AR21" s="31"/>
      <c r="AS21" s="28"/>
      <c r="AT21" s="28"/>
      <c r="AU21" s="29"/>
      <c r="AV21" s="28"/>
      <c r="AW21" s="29"/>
      <c r="AX21" s="35">
        <f>AX14+AX20</f>
        <v>4736.3148639999999</v>
      </c>
      <c r="AY21" s="31"/>
      <c r="AZ21" s="28"/>
      <c r="BA21" s="28"/>
      <c r="BB21" s="29"/>
      <c r="BC21" s="28"/>
      <c r="BD21" s="29"/>
      <c r="BE21" s="35">
        <f>BE14+BE20</f>
        <v>3947.3386719999999</v>
      </c>
      <c r="BF21" s="31"/>
    </row>
    <row r="22" spans="1:59">
      <c r="A22" s="59" t="s">
        <v>91</v>
      </c>
      <c r="B22" s="60">
        <v>1.4999999999999999E-2</v>
      </c>
      <c r="C22" s="60"/>
      <c r="D22" s="60"/>
      <c r="E22" s="60"/>
      <c r="F22" s="60"/>
      <c r="G22" s="61">
        <v>500</v>
      </c>
      <c r="H22" s="60">
        <f>G22*B22</f>
        <v>7.5</v>
      </c>
      <c r="I22" s="60"/>
      <c r="J22" s="60"/>
      <c r="K22" s="62"/>
      <c r="L22" s="63"/>
      <c r="M22" s="62"/>
      <c r="N22" s="61">
        <v>500</v>
      </c>
      <c r="O22" s="64">
        <f>N22*B22</f>
        <v>7.5</v>
      </c>
      <c r="P22" s="65"/>
      <c r="Q22" s="62"/>
      <c r="R22" s="62"/>
      <c r="S22" s="64"/>
      <c r="T22" s="62"/>
      <c r="U22" s="62">
        <v>500</v>
      </c>
      <c r="V22" s="64">
        <f>U22*B22</f>
        <v>7.5</v>
      </c>
      <c r="W22" s="66"/>
      <c r="X22" s="62"/>
      <c r="Y22" s="62"/>
      <c r="Z22" s="63"/>
      <c r="AA22" s="62"/>
      <c r="AB22" s="61">
        <v>500</v>
      </c>
      <c r="AC22" s="63">
        <f>AB22*B22</f>
        <v>7.5</v>
      </c>
      <c r="AD22" s="65"/>
      <c r="AE22" s="62"/>
      <c r="AF22" s="62"/>
      <c r="AG22" s="63"/>
      <c r="AH22" s="62"/>
      <c r="AI22" s="61">
        <v>500</v>
      </c>
      <c r="AJ22" s="67">
        <f>AI22*B22</f>
        <v>7.5</v>
      </c>
      <c r="AK22" s="19"/>
      <c r="AL22" s="62"/>
      <c r="AM22" s="62"/>
      <c r="AN22" s="63"/>
      <c r="AO22" s="62"/>
      <c r="AP22" s="61">
        <v>500</v>
      </c>
      <c r="AQ22" s="67">
        <f>$B$22*AP22</f>
        <v>7.5</v>
      </c>
      <c r="AR22" s="19"/>
      <c r="AS22" s="62"/>
      <c r="AT22" s="62"/>
      <c r="AU22" s="63"/>
      <c r="AV22" s="62"/>
      <c r="AW22" s="61">
        <v>500</v>
      </c>
      <c r="AX22" s="67">
        <f>$B$22*AW22</f>
        <v>7.5</v>
      </c>
      <c r="AY22" s="19"/>
      <c r="AZ22" s="62"/>
      <c r="BA22" s="62"/>
      <c r="BB22" s="63"/>
      <c r="BC22" s="62"/>
      <c r="BD22" s="61">
        <v>500</v>
      </c>
      <c r="BE22" s="67">
        <f>$B$22*BD22</f>
        <v>7.5</v>
      </c>
      <c r="BF22" s="19"/>
    </row>
    <row r="23" spans="1:59">
      <c r="A23" s="68" t="s">
        <v>92</v>
      </c>
      <c r="B23" s="9">
        <v>4.4999999999999998E-2</v>
      </c>
      <c r="C23" s="9"/>
      <c r="D23" s="9"/>
      <c r="E23" s="9"/>
      <c r="F23" s="9"/>
      <c r="G23" s="18"/>
      <c r="H23" s="9"/>
      <c r="I23" s="9"/>
      <c r="L23" s="17"/>
      <c r="N23" s="18">
        <v>69.891999999999996</v>
      </c>
      <c r="O23" s="20">
        <f t="shared" ref="O23:O31" si="36">N23*B23</f>
        <v>3.1451399999999996</v>
      </c>
      <c r="P23" s="19"/>
      <c r="S23" s="20"/>
      <c r="U23" s="4">
        <v>500</v>
      </c>
      <c r="V23" s="20">
        <f>U23*B23</f>
        <v>22.5</v>
      </c>
      <c r="W23" s="22"/>
      <c r="Z23" s="17"/>
      <c r="AB23" s="18">
        <v>795.96799999999996</v>
      </c>
      <c r="AC23" s="17">
        <f>AB23*B23</f>
        <v>35.818559999999998</v>
      </c>
      <c r="AD23" s="19"/>
      <c r="AG23" s="17"/>
      <c r="AI23" s="18">
        <v>1273.133</v>
      </c>
      <c r="AJ23" s="69">
        <f>AI23*B23</f>
        <v>57.290984999999999</v>
      </c>
      <c r="AK23" s="19"/>
      <c r="AN23" s="17"/>
      <c r="AP23" s="18">
        <v>1100</v>
      </c>
      <c r="AQ23" s="69">
        <f>$B$23*AP23</f>
        <v>49.5</v>
      </c>
      <c r="AR23" s="19"/>
      <c r="AU23" s="17"/>
      <c r="AW23" s="18">
        <v>1100</v>
      </c>
      <c r="AX23" s="69">
        <f>$B$23*AW23</f>
        <v>49.5</v>
      </c>
      <c r="AY23" s="19"/>
      <c r="BB23" s="17"/>
      <c r="BD23" s="18">
        <v>1100</v>
      </c>
      <c r="BE23" s="69">
        <f>$B$23*BD23</f>
        <v>49.5</v>
      </c>
      <c r="BF23" s="19"/>
    </row>
    <row r="24" spans="1:59" ht="13.9" customHeight="1">
      <c r="A24" s="68" t="s">
        <v>93</v>
      </c>
      <c r="B24" s="9">
        <v>0.08</v>
      </c>
      <c r="C24" s="9"/>
      <c r="D24" s="9"/>
      <c r="E24" s="9"/>
      <c r="F24" s="9"/>
      <c r="G24" s="18">
        <v>2560</v>
      </c>
      <c r="H24" s="9">
        <f>G24*B24</f>
        <v>204.8</v>
      </c>
      <c r="I24" s="9"/>
      <c r="L24" s="17"/>
      <c r="N24" s="18">
        <v>3018.4340000000002</v>
      </c>
      <c r="O24" s="20">
        <f t="shared" si="36"/>
        <v>241.47472000000002</v>
      </c>
      <c r="P24" s="19"/>
      <c r="S24" s="20"/>
      <c r="U24" s="4">
        <v>5130</v>
      </c>
      <c r="V24" s="20">
        <f>U24*B24</f>
        <v>410.40000000000003</v>
      </c>
      <c r="W24" s="22"/>
      <c r="Z24" s="17"/>
      <c r="AB24" s="18">
        <v>6033.6549999999997</v>
      </c>
      <c r="AC24" s="17">
        <f>AB24*B24</f>
        <v>482.69239999999996</v>
      </c>
      <c r="AD24" s="19"/>
      <c r="AG24" s="17"/>
      <c r="AI24" s="18">
        <v>7311.9189999999999</v>
      </c>
      <c r="AJ24" s="69">
        <f>AI24*B24</f>
        <v>584.95352000000003</v>
      </c>
      <c r="AK24" s="19"/>
      <c r="AN24" s="17"/>
      <c r="AP24" s="18">
        <v>8350</v>
      </c>
      <c r="AQ24" s="69">
        <f>$B$24*AP24</f>
        <v>668</v>
      </c>
      <c r="AR24" s="19"/>
      <c r="AU24" s="17"/>
      <c r="AW24" s="18">
        <v>8350</v>
      </c>
      <c r="AX24" s="69">
        <f>$B$24*AW24</f>
        <v>668</v>
      </c>
      <c r="AY24" s="19"/>
      <c r="BB24" s="17"/>
      <c r="BD24" s="18">
        <v>8350</v>
      </c>
      <c r="BE24" s="69">
        <f>$B$24*BD24</f>
        <v>668</v>
      </c>
      <c r="BF24" s="19"/>
    </row>
    <row r="25" spans="1:59">
      <c r="A25" s="68" t="s">
        <v>94</v>
      </c>
      <c r="B25" s="9">
        <v>0.1</v>
      </c>
      <c r="C25" s="9"/>
      <c r="D25" s="9"/>
      <c r="E25" s="9"/>
      <c r="F25" s="9"/>
      <c r="G25" s="18">
        <v>2180</v>
      </c>
      <c r="H25" s="9">
        <f>G25*B25</f>
        <v>218</v>
      </c>
      <c r="I25" s="9"/>
      <c r="L25" s="17"/>
      <c r="N25" s="18">
        <v>2020.921</v>
      </c>
      <c r="O25" s="20">
        <f t="shared" si="36"/>
        <v>202.09210000000002</v>
      </c>
      <c r="P25" s="19"/>
      <c r="S25" s="20"/>
      <c r="U25" s="4">
        <v>1370</v>
      </c>
      <c r="V25" s="20">
        <f>U25*B25</f>
        <v>137</v>
      </c>
      <c r="W25" s="22"/>
      <c r="Z25" s="17"/>
      <c r="AB25" s="18">
        <v>1370</v>
      </c>
      <c r="AC25" s="17">
        <f>AB25*B25</f>
        <v>137</v>
      </c>
      <c r="AD25" s="19"/>
      <c r="AG25" s="17"/>
      <c r="AH25" s="18">
        <f>SUM(AI22:AI25)</f>
        <v>10455.052</v>
      </c>
      <c r="AI25" s="18">
        <v>1370</v>
      </c>
      <c r="AJ25" s="69">
        <f>AI25*B25</f>
        <v>137</v>
      </c>
      <c r="AK25" s="104"/>
      <c r="AN25" s="17"/>
      <c r="AO25" s="18"/>
      <c r="AP25" s="18">
        <v>1370</v>
      </c>
      <c r="AQ25" s="69">
        <f>$B$25*I25</f>
        <v>0</v>
      </c>
      <c r="AR25" s="104"/>
      <c r="AU25" s="17"/>
      <c r="AV25" s="18"/>
      <c r="AW25" s="18">
        <v>1370</v>
      </c>
      <c r="AX25" s="69">
        <f>$B$25*P25</f>
        <v>0</v>
      </c>
      <c r="AY25" s="104"/>
      <c r="BB25" s="17"/>
      <c r="BC25" s="18"/>
      <c r="BD25" s="18">
        <v>1370</v>
      </c>
      <c r="BE25" s="69">
        <f>$B$25*W25</f>
        <v>0</v>
      </c>
      <c r="BF25" s="104"/>
    </row>
    <row r="26" spans="1:59">
      <c r="A26" s="68" t="s">
        <v>40</v>
      </c>
      <c r="B26" s="9">
        <v>5.0000000000000001E-3</v>
      </c>
      <c r="C26" s="9"/>
      <c r="D26" s="9"/>
      <c r="E26" s="9"/>
      <c r="F26" s="9"/>
      <c r="G26" s="18"/>
      <c r="H26" s="9"/>
      <c r="I26" s="9"/>
      <c r="L26" s="17"/>
      <c r="N26" s="18">
        <v>104.839</v>
      </c>
      <c r="O26" s="20">
        <f t="shared" si="36"/>
        <v>0.52419499999999997</v>
      </c>
      <c r="P26" s="19"/>
      <c r="S26" s="20"/>
      <c r="U26" s="4">
        <v>750</v>
      </c>
      <c r="V26" s="20">
        <f>U26*B26</f>
        <v>3.75</v>
      </c>
      <c r="W26" s="22"/>
      <c r="Z26" s="17"/>
      <c r="AB26" s="18">
        <v>2723.1179999999999</v>
      </c>
      <c r="AC26" s="17">
        <f>AB26*B26</f>
        <v>13.615589999999999</v>
      </c>
      <c r="AD26" s="19"/>
      <c r="AG26" s="17"/>
      <c r="AI26" s="18">
        <v>4987.9030000000002</v>
      </c>
      <c r="AJ26" s="69">
        <f>AI26*B26*1</f>
        <v>24.939515</v>
      </c>
      <c r="AK26" s="19"/>
      <c r="AN26" s="17"/>
      <c r="AP26" s="18">
        <v>4750</v>
      </c>
      <c r="AQ26" s="69">
        <f>$B$26*AP26</f>
        <v>23.75</v>
      </c>
      <c r="AR26" s="19"/>
      <c r="AU26" s="17"/>
      <c r="AW26" s="18">
        <v>4750</v>
      </c>
      <c r="AX26" s="69">
        <f>$B$26*AW26</f>
        <v>23.75</v>
      </c>
      <c r="AY26" s="19"/>
      <c r="BB26" s="17"/>
      <c r="BD26" s="18">
        <v>4750</v>
      </c>
      <c r="BE26" s="69">
        <f>$B$26*BD26</f>
        <v>23.75</v>
      </c>
      <c r="BF26" s="19"/>
    </row>
    <row r="27" spans="1:59">
      <c r="A27" s="68" t="s">
        <v>41</v>
      </c>
      <c r="B27" s="9">
        <v>0.04</v>
      </c>
      <c r="C27" s="9"/>
      <c r="D27" s="9"/>
      <c r="E27" s="9"/>
      <c r="F27" s="9"/>
      <c r="G27" s="18">
        <v>0.33700000000000002</v>
      </c>
      <c r="H27" s="9">
        <f>G27*B27*1000+0.32</f>
        <v>13.8</v>
      </c>
      <c r="I27" s="9"/>
      <c r="L27" s="17"/>
      <c r="N27" s="18">
        <f>0.357*1024</f>
        <v>365.56799999999998</v>
      </c>
      <c r="O27" s="20">
        <f>N27*B27+0.02</f>
        <v>14.642719999999999</v>
      </c>
      <c r="P27" s="19"/>
      <c r="S27" s="20"/>
      <c r="U27" s="4">
        <f>0.508</f>
        <v>0.50800000000000001</v>
      </c>
      <c r="V27" s="20">
        <f>U27*B27*1000+0.48</f>
        <v>20.8</v>
      </c>
      <c r="W27" s="22"/>
      <c r="Z27" s="17"/>
      <c r="AB27" s="18">
        <f>0.725</f>
        <v>0.72499999999999998</v>
      </c>
      <c r="AC27" s="17">
        <f>AB27*B27*1000+0.68</f>
        <v>29.679999999999996</v>
      </c>
      <c r="AD27" s="19"/>
      <c r="AG27" s="17"/>
      <c r="AI27" s="18">
        <v>0.98599999999999999</v>
      </c>
      <c r="AJ27" s="78">
        <f>AI27*B27*1000+0.95</f>
        <v>40.390000000000008</v>
      </c>
      <c r="AK27" s="19"/>
      <c r="AN27" s="17"/>
      <c r="AP27" s="18">
        <v>1167</v>
      </c>
      <c r="AQ27" s="78">
        <f>$B$27*AP27*1+1.12</f>
        <v>47.8</v>
      </c>
      <c r="AR27" s="19"/>
      <c r="AU27" s="17"/>
      <c r="AW27" s="18">
        <v>1167</v>
      </c>
      <c r="AX27" s="78">
        <f>$B$27*AW27*1+1.12</f>
        <v>47.8</v>
      </c>
      <c r="AY27" s="19"/>
      <c r="BB27" s="17"/>
      <c r="BD27" s="18">
        <v>1167</v>
      </c>
      <c r="BE27" s="78">
        <f>$B$27*BD27*1+1.12</f>
        <v>47.8</v>
      </c>
      <c r="BF27" s="19"/>
    </row>
    <row r="28" spans="1:59">
      <c r="A28" s="70" t="s">
        <v>42</v>
      </c>
      <c r="B28" s="71">
        <v>0.05</v>
      </c>
      <c r="C28" s="71"/>
      <c r="D28" s="71"/>
      <c r="E28" s="71"/>
      <c r="F28" s="71"/>
      <c r="G28" s="72">
        <v>4387.3109999999997</v>
      </c>
      <c r="H28" s="71">
        <f>G28*B28</f>
        <v>219.36554999999998</v>
      </c>
      <c r="I28" s="71"/>
      <c r="J28" s="73"/>
      <c r="K28" s="73"/>
      <c r="L28" s="74"/>
      <c r="M28" s="73"/>
      <c r="N28" s="72">
        <v>2518.5430000000001</v>
      </c>
      <c r="O28" s="75">
        <f t="shared" si="36"/>
        <v>125.92715000000001</v>
      </c>
      <c r="P28" s="76"/>
      <c r="Q28" s="73"/>
      <c r="R28" s="73"/>
      <c r="S28" s="75"/>
      <c r="T28" s="73"/>
      <c r="U28" s="73">
        <v>2813.4169999999999</v>
      </c>
      <c r="V28" s="75">
        <f>U28*B28</f>
        <v>140.67085</v>
      </c>
      <c r="W28" s="79"/>
      <c r="X28" s="75"/>
      <c r="Y28" s="73"/>
      <c r="Z28" s="74"/>
      <c r="AA28" s="73"/>
      <c r="AB28" s="72">
        <v>2476.5140000000001</v>
      </c>
      <c r="AC28" s="74">
        <f>AB28*B28</f>
        <v>123.82570000000001</v>
      </c>
      <c r="AD28" s="76"/>
      <c r="AE28" s="75"/>
      <c r="AF28" s="73"/>
      <c r="AG28" s="74"/>
      <c r="AH28" s="73"/>
      <c r="AI28" s="72">
        <v>3590.62</v>
      </c>
      <c r="AJ28" s="80">
        <f>AI28*B28</f>
        <v>179.53100000000001</v>
      </c>
      <c r="AK28" s="51"/>
      <c r="AL28" s="75"/>
      <c r="AM28" s="73"/>
      <c r="AN28" s="74"/>
      <c r="AO28" s="73"/>
      <c r="AP28" s="72">
        <v>2317.3989999999999</v>
      </c>
      <c r="AQ28" s="80">
        <f>$B$28*AP28</f>
        <v>115.86995</v>
      </c>
      <c r="AR28" s="19"/>
      <c r="AS28" s="75"/>
      <c r="AT28" s="73"/>
      <c r="AU28" s="74"/>
      <c r="AV28" s="73"/>
      <c r="AW28" s="72">
        <v>2317.3989999999999</v>
      </c>
      <c r="AX28" s="80">
        <f>$B$28*AW28</f>
        <v>115.86995</v>
      </c>
      <c r="AY28" s="19"/>
      <c r="AZ28" s="75"/>
      <c r="BA28" s="73"/>
      <c r="BB28" s="74"/>
      <c r="BC28" s="73"/>
      <c r="BD28" s="72">
        <v>2317.3989999999999</v>
      </c>
      <c r="BE28" s="80">
        <f>$B$28*BD28</f>
        <v>115.86995</v>
      </c>
      <c r="BF28" s="19"/>
    </row>
    <row r="29" spans="1:59" ht="10.9" customHeight="1">
      <c r="A29" s="59" t="s">
        <v>43</v>
      </c>
      <c r="B29" s="60">
        <v>4.4999999999999998E-2</v>
      </c>
      <c r="C29" s="60"/>
      <c r="D29" s="60"/>
      <c r="E29" s="60"/>
      <c r="F29" s="60"/>
      <c r="G29" s="61">
        <v>2.9369999999999998</v>
      </c>
      <c r="H29" s="60">
        <f t="shared" ref="H29:H40" si="37">G29*B29</f>
        <v>0.13216499999999998</v>
      </c>
      <c r="I29" s="60"/>
      <c r="J29" s="62"/>
      <c r="K29" s="62"/>
      <c r="L29" s="63"/>
      <c r="M29" s="62"/>
      <c r="N29" s="61">
        <v>2.8410000000000002</v>
      </c>
      <c r="O29" s="64">
        <f t="shared" si="36"/>
        <v>0.12784500000000001</v>
      </c>
      <c r="P29" s="65"/>
      <c r="Q29" s="62"/>
      <c r="R29" s="62"/>
      <c r="S29" s="64"/>
      <c r="T29" s="62"/>
      <c r="U29" s="62">
        <v>5.6859999999999999</v>
      </c>
      <c r="V29" s="64">
        <f>U29*B29</f>
        <v>0.25586999999999999</v>
      </c>
      <c r="W29" s="66"/>
      <c r="X29" s="62"/>
      <c r="Y29" s="62"/>
      <c r="Z29" s="63"/>
      <c r="AA29" s="62"/>
      <c r="AB29" s="61">
        <v>14.314</v>
      </c>
      <c r="AC29" s="63">
        <f>AB29*B29</f>
        <v>0.64412999999999998</v>
      </c>
      <c r="AD29" s="65"/>
      <c r="AE29" s="62"/>
      <c r="AF29" s="62"/>
      <c r="AG29" s="63"/>
      <c r="AH29" s="62"/>
      <c r="AI29" s="61">
        <v>3.3250000000000002</v>
      </c>
      <c r="AJ29" s="67">
        <f>AI29*B29</f>
        <v>0.14962500000000001</v>
      </c>
      <c r="AK29" s="19"/>
      <c r="AL29" s="62"/>
      <c r="AM29" s="62"/>
      <c r="AN29" s="63"/>
      <c r="AO29" s="62"/>
      <c r="AP29" s="61">
        <v>2.94</v>
      </c>
      <c r="AQ29" s="67">
        <f>AP29*$B$29</f>
        <v>0.1323</v>
      </c>
      <c r="AR29" s="19"/>
      <c r="AS29" s="62"/>
      <c r="AT29" s="62"/>
      <c r="AU29" s="63"/>
      <c r="AV29" s="62"/>
      <c r="AW29" s="61">
        <v>3.0049999999999999</v>
      </c>
      <c r="AX29" s="67">
        <f>AW29*$B$29</f>
        <v>0.13522499999999998</v>
      </c>
      <c r="AY29" s="19"/>
      <c r="AZ29" s="62"/>
      <c r="BA29" s="62"/>
      <c r="BB29" s="63"/>
      <c r="BC29" s="62"/>
      <c r="BD29" s="61">
        <f>2.635</f>
        <v>2.6349999999999998</v>
      </c>
      <c r="BE29" s="67">
        <f>BD29*$B$29</f>
        <v>0.11857499999999999</v>
      </c>
      <c r="BF29" s="19"/>
    </row>
    <row r="30" spans="1:59" ht="10.9" customHeight="1">
      <c r="A30" s="70" t="s">
        <v>44</v>
      </c>
      <c r="B30" s="71">
        <v>4.4999999999999998E-2</v>
      </c>
      <c r="C30" s="71"/>
      <c r="D30" s="71"/>
      <c r="E30" s="71"/>
      <c r="F30" s="71"/>
      <c r="G30" s="72">
        <v>744</v>
      </c>
      <c r="H30" s="71">
        <f t="shared" si="37"/>
        <v>33.479999999999997</v>
      </c>
      <c r="I30" s="71"/>
      <c r="J30" s="73"/>
      <c r="K30" s="73"/>
      <c r="L30" s="74"/>
      <c r="M30" s="73"/>
      <c r="N30" s="72">
        <v>744</v>
      </c>
      <c r="O30" s="75">
        <f t="shared" si="36"/>
        <v>33.479999999999997</v>
      </c>
      <c r="P30" s="76"/>
      <c r="Q30" s="73"/>
      <c r="R30" s="73"/>
      <c r="S30" s="75"/>
      <c r="T30" s="73"/>
      <c r="U30" s="73">
        <v>720</v>
      </c>
      <c r="V30" s="75">
        <f>U30*B30</f>
        <v>32.4</v>
      </c>
      <c r="W30" s="79"/>
      <c r="X30" s="75"/>
      <c r="Y30" s="73"/>
      <c r="Z30" s="74"/>
      <c r="AA30" s="73"/>
      <c r="AB30" s="72">
        <v>744</v>
      </c>
      <c r="AC30" s="74">
        <f>AB30*B30</f>
        <v>33.479999999999997</v>
      </c>
      <c r="AD30" s="76"/>
      <c r="AE30" s="75"/>
      <c r="AF30" s="73"/>
      <c r="AG30" s="74"/>
      <c r="AH30" s="73"/>
      <c r="AI30" s="72">
        <v>744</v>
      </c>
      <c r="AJ30" s="80">
        <f>AI30*B30</f>
        <v>33.479999999999997</v>
      </c>
      <c r="AK30" s="51"/>
      <c r="AL30" s="75"/>
      <c r="AM30" s="73"/>
      <c r="AN30" s="74"/>
      <c r="AO30" s="73"/>
      <c r="AP30" s="72">
        <v>744</v>
      </c>
      <c r="AQ30" s="80">
        <f>AP30*$B$30</f>
        <v>33.479999999999997</v>
      </c>
      <c r="AR30" s="20"/>
      <c r="AS30" s="75"/>
      <c r="AT30" s="73"/>
      <c r="AU30" s="74"/>
      <c r="AV30" s="73"/>
      <c r="AW30" s="72">
        <v>720</v>
      </c>
      <c r="AX30" s="80">
        <f>AW30*$B$30</f>
        <v>32.4</v>
      </c>
      <c r="AY30" s="20"/>
      <c r="AZ30" s="75"/>
      <c r="BA30" s="73"/>
      <c r="BB30" s="74"/>
      <c r="BC30" s="73"/>
      <c r="BD30" s="72">
        <v>744</v>
      </c>
      <c r="BE30" s="80">
        <f>BD30*$B$30</f>
        <v>33.479999999999997</v>
      </c>
      <c r="BF30" s="20"/>
      <c r="BG30" s="20"/>
    </row>
    <row r="31" spans="1:59">
      <c r="A31" s="59" t="s">
        <v>45</v>
      </c>
      <c r="B31" s="60">
        <v>0.05</v>
      </c>
      <c r="C31" s="60"/>
      <c r="D31" s="60"/>
      <c r="E31" s="60"/>
      <c r="F31" s="60"/>
      <c r="G31" s="61">
        <v>2232</v>
      </c>
      <c r="H31" s="60">
        <f t="shared" si="37"/>
        <v>111.60000000000001</v>
      </c>
      <c r="I31" s="60"/>
      <c r="J31" s="62"/>
      <c r="K31" s="62"/>
      <c r="L31" s="63"/>
      <c r="M31" s="62"/>
      <c r="N31" s="61">
        <v>2232</v>
      </c>
      <c r="O31" s="64">
        <f t="shared" si="36"/>
        <v>111.60000000000001</v>
      </c>
      <c r="P31" s="65"/>
      <c r="Q31" s="62"/>
      <c r="R31" s="62"/>
      <c r="S31" s="64"/>
      <c r="T31" s="62"/>
      <c r="U31" s="62">
        <v>2160</v>
      </c>
      <c r="V31" s="64">
        <f>U31*B31</f>
        <v>108</v>
      </c>
      <c r="W31" s="66"/>
      <c r="X31" s="62"/>
      <c r="Y31" s="62"/>
      <c r="Z31" s="63"/>
      <c r="AA31" s="62"/>
      <c r="AB31" s="61">
        <v>2232</v>
      </c>
      <c r="AC31" s="63">
        <f>AB31*B31</f>
        <v>111.60000000000001</v>
      </c>
      <c r="AD31" s="65"/>
      <c r="AE31" s="62"/>
      <c r="AF31" s="62"/>
      <c r="AG31" s="63"/>
      <c r="AH31" s="62"/>
      <c r="AI31" s="61">
        <v>2232</v>
      </c>
      <c r="AJ31" s="67">
        <f>AI31*B31</f>
        <v>111.60000000000001</v>
      </c>
      <c r="AK31" s="19"/>
      <c r="AL31" s="62"/>
      <c r="AM31" s="62"/>
      <c r="AN31" s="63"/>
      <c r="AO31" s="62"/>
      <c r="AP31" s="61">
        <v>2232</v>
      </c>
      <c r="AQ31" s="67">
        <f>AP31*$B$31</f>
        <v>111.60000000000001</v>
      </c>
      <c r="AR31" s="19"/>
      <c r="AS31" s="62"/>
      <c r="AT31" s="62"/>
      <c r="AU31" s="63"/>
      <c r="AV31" s="62"/>
      <c r="AW31" s="61">
        <v>2160</v>
      </c>
      <c r="AX31" s="67">
        <f>AW31*$B$31</f>
        <v>108</v>
      </c>
      <c r="AY31" s="19"/>
      <c r="AZ31" s="62"/>
      <c r="BA31" s="62"/>
      <c r="BB31" s="63"/>
      <c r="BC31" s="62"/>
      <c r="BD31" s="61">
        <v>2232</v>
      </c>
      <c r="BE31" s="67">
        <f>BD31*$B$31</f>
        <v>111.60000000000001</v>
      </c>
      <c r="BF31" s="19"/>
    </row>
    <row r="32" spans="1:59">
      <c r="A32" s="68" t="s">
        <v>46</v>
      </c>
      <c r="B32" s="9">
        <v>0.05</v>
      </c>
      <c r="C32" s="9"/>
      <c r="D32" s="9"/>
      <c r="E32" s="9"/>
      <c r="F32" s="9"/>
      <c r="G32" s="18">
        <v>2009.713</v>
      </c>
      <c r="H32" s="9">
        <f>G32*B32/10</f>
        <v>10.048565</v>
      </c>
      <c r="I32" s="9"/>
      <c r="L32" s="17"/>
      <c r="N32" s="18">
        <v>2843.5790000000002</v>
      </c>
      <c r="O32" s="20">
        <f>N32*B32/10</f>
        <v>14.217895000000002</v>
      </c>
      <c r="P32" s="19"/>
      <c r="S32" s="20"/>
      <c r="U32" s="4">
        <v>2720.183</v>
      </c>
      <c r="V32" s="20">
        <f>U32*B32/10</f>
        <v>13.600915000000001</v>
      </c>
      <c r="W32" s="22"/>
      <c r="Z32" s="17"/>
      <c r="AB32" s="18">
        <v>2945.4520000000002</v>
      </c>
      <c r="AC32" s="17">
        <f>AB32*B32/10</f>
        <v>14.727260000000001</v>
      </c>
      <c r="AD32" s="19"/>
      <c r="AG32" s="17"/>
      <c r="AI32" s="18">
        <v>2703.7339999999999</v>
      </c>
      <c r="AJ32" s="69">
        <f>AI32*B32/10</f>
        <v>13.51867</v>
      </c>
      <c r="AK32" s="19"/>
      <c r="AN32" s="17"/>
      <c r="AP32" s="18">
        <v>2968.8980000000001</v>
      </c>
      <c r="AQ32" s="69">
        <f>AP32*$B$32/10</f>
        <v>14.844490000000002</v>
      </c>
      <c r="AR32" s="19"/>
      <c r="AU32" s="17"/>
      <c r="AW32" s="18">
        <v>2880</v>
      </c>
      <c r="AX32" s="69">
        <f>AW32*$B$32/10</f>
        <v>14.4</v>
      </c>
      <c r="AY32" s="19"/>
      <c r="BB32" s="17"/>
      <c r="BD32" s="18">
        <v>2976</v>
      </c>
      <c r="BE32" s="69">
        <f>BD32*$B$32/10</f>
        <v>14.88</v>
      </c>
      <c r="BF32" s="19"/>
    </row>
    <row r="33" spans="1:60">
      <c r="A33" s="70" t="s">
        <v>47</v>
      </c>
      <c r="B33" s="71">
        <v>0.05</v>
      </c>
      <c r="C33" s="71"/>
      <c r="D33" s="71"/>
      <c r="E33" s="71"/>
      <c r="F33" s="71"/>
      <c r="G33" s="72">
        <v>7888.5780000000004</v>
      </c>
      <c r="H33" s="71">
        <f>G33*B33/10</f>
        <v>39.442890000000006</v>
      </c>
      <c r="I33" s="71"/>
      <c r="J33" s="73"/>
      <c r="K33" s="73"/>
      <c r="L33" s="74"/>
      <c r="M33" s="73"/>
      <c r="N33" s="72">
        <v>7295.25</v>
      </c>
      <c r="O33" s="75">
        <f>N33*B33/10</f>
        <v>36.476250000000007</v>
      </c>
      <c r="P33" s="76"/>
      <c r="Q33" s="73"/>
      <c r="R33" s="73"/>
      <c r="S33" s="75"/>
      <c r="T33" s="73"/>
      <c r="U33" s="73">
        <v>8243.5560000000005</v>
      </c>
      <c r="V33" s="75">
        <f>U33*B33/10</f>
        <v>41.217780000000005</v>
      </c>
      <c r="W33" s="79"/>
      <c r="X33" s="73"/>
      <c r="Y33" s="73"/>
      <c r="Z33" s="74"/>
      <c r="AA33" s="73"/>
      <c r="AB33" s="72">
        <v>8464.4680000000008</v>
      </c>
      <c r="AC33" s="74">
        <f>AB33*B33/10</f>
        <v>42.322340000000011</v>
      </c>
      <c r="AD33" s="76"/>
      <c r="AE33" s="73"/>
      <c r="AF33" s="73"/>
      <c r="AG33" s="74"/>
      <c r="AH33" s="73"/>
      <c r="AI33" s="72">
        <v>9360.6959999999999</v>
      </c>
      <c r="AJ33" s="80">
        <f>AI33*B33/10</f>
        <v>46.80348</v>
      </c>
      <c r="AK33" s="51"/>
      <c r="AL33" s="73"/>
      <c r="AM33" s="73"/>
      <c r="AN33" s="74"/>
      <c r="AO33" s="73"/>
      <c r="AP33" s="72">
        <v>8873.7919999999995</v>
      </c>
      <c r="AQ33" s="80">
        <f>AP33*$B$33/10</f>
        <v>44.368960000000001</v>
      </c>
      <c r="AR33" s="51"/>
      <c r="AS33" s="73"/>
      <c r="AT33" s="73"/>
      <c r="AU33" s="74"/>
      <c r="AV33" s="73"/>
      <c r="AW33" s="72">
        <v>8500.277</v>
      </c>
      <c r="AX33" s="80">
        <f>AW33*$B$33/10</f>
        <v>42.501385000000006</v>
      </c>
      <c r="AY33" s="51"/>
      <c r="AZ33" s="73"/>
      <c r="BA33" s="73"/>
      <c r="BB33" s="74"/>
      <c r="BC33" s="73"/>
      <c r="BD33" s="72">
        <v>8351.7810000000009</v>
      </c>
      <c r="BE33" s="80">
        <f>BD33*$B$33/10</f>
        <v>41.758905000000006</v>
      </c>
      <c r="BF33" s="51"/>
    </row>
    <row r="34" spans="1:60">
      <c r="A34" s="59" t="s">
        <v>48</v>
      </c>
      <c r="B34" s="60">
        <v>1E-3</v>
      </c>
      <c r="C34" s="60"/>
      <c r="D34" s="60"/>
      <c r="E34" s="60"/>
      <c r="F34" s="60"/>
      <c r="G34" s="61">
        <v>97917</v>
      </c>
      <c r="H34" s="60">
        <f>G34*B34/100</f>
        <v>0.97916999999999998</v>
      </c>
      <c r="I34" s="60"/>
      <c r="J34" s="62"/>
      <c r="K34" s="62"/>
      <c r="L34" s="63"/>
      <c r="M34" s="62"/>
      <c r="N34" s="61">
        <v>163941</v>
      </c>
      <c r="O34" s="64">
        <f>N34*B34/100</f>
        <v>1.63941</v>
      </c>
      <c r="P34" s="65"/>
      <c r="Q34" s="62"/>
      <c r="R34" s="62"/>
      <c r="S34" s="64"/>
      <c r="T34" s="62"/>
      <c r="U34" s="62">
        <v>68350</v>
      </c>
      <c r="V34" s="64">
        <f>U34*B34/100</f>
        <v>0.6835</v>
      </c>
      <c r="W34" s="81"/>
      <c r="X34" s="62"/>
      <c r="Y34" s="62"/>
      <c r="Z34" s="63"/>
      <c r="AA34" s="62"/>
      <c r="AB34" s="61">
        <v>68363</v>
      </c>
      <c r="AC34" s="63">
        <f>AB34*B34/100</f>
        <v>0.68362999999999996</v>
      </c>
      <c r="AD34" s="65"/>
      <c r="AE34" s="62"/>
      <c r="AF34" s="62"/>
      <c r="AG34" s="63"/>
      <c r="AH34" s="62"/>
      <c r="AI34" s="61">
        <v>51343</v>
      </c>
      <c r="AJ34" s="67">
        <f>AI34*B34/100</f>
        <v>0.51343000000000005</v>
      </c>
      <c r="AK34" s="19"/>
      <c r="AL34" s="62"/>
      <c r="AM34" s="62"/>
      <c r="AN34" s="63"/>
      <c r="AO34" s="62"/>
      <c r="AP34" s="61">
        <v>42798</v>
      </c>
      <c r="AQ34" s="67">
        <f>AP34*$B$34/100</f>
        <v>0.42798000000000003</v>
      </c>
      <c r="AR34" s="19"/>
      <c r="AS34" s="62"/>
      <c r="AT34" s="62"/>
      <c r="AU34" s="63"/>
      <c r="AV34" s="62"/>
      <c r="AW34" s="61">
        <v>38518</v>
      </c>
      <c r="AX34" s="67">
        <f>AW34*$B$34/100</f>
        <v>0.38518000000000002</v>
      </c>
      <c r="AY34" s="19"/>
      <c r="AZ34" s="62"/>
      <c r="BA34" s="62"/>
      <c r="BB34" s="63"/>
      <c r="BC34" s="62"/>
      <c r="BD34" s="61">
        <v>42788</v>
      </c>
      <c r="BE34" s="67">
        <f>BD34*$B$34/100</f>
        <v>0.42788000000000004</v>
      </c>
      <c r="BF34" s="19"/>
    </row>
    <row r="35" spans="1:60">
      <c r="A35" s="68" t="s">
        <v>49</v>
      </c>
      <c r="B35" s="9">
        <v>0.1</v>
      </c>
      <c r="C35" s="9"/>
      <c r="D35" s="9"/>
      <c r="E35" s="9"/>
      <c r="F35" s="9"/>
      <c r="G35" s="18">
        <v>9.032</v>
      </c>
      <c r="H35" s="9">
        <f>G35*B35/1</f>
        <v>0.9032</v>
      </c>
      <c r="I35" s="9"/>
      <c r="L35" s="17"/>
      <c r="N35" s="18">
        <v>9.6769999999999996</v>
      </c>
      <c r="O35" s="20">
        <f>N35*B35</f>
        <v>0.9677</v>
      </c>
      <c r="P35" s="19"/>
      <c r="S35" s="20"/>
      <c r="U35" s="4">
        <v>9.3330000000000002</v>
      </c>
      <c r="V35" s="20">
        <f t="shared" ref="V35:V40" si="38">U35*B35/1</f>
        <v>0.93330000000000002</v>
      </c>
      <c r="W35" s="22"/>
      <c r="Z35" s="17"/>
      <c r="AB35" s="18">
        <v>9.3550000000000004</v>
      </c>
      <c r="AC35" s="17">
        <f>AB35*B35/1</f>
        <v>0.93550000000000011</v>
      </c>
      <c r="AD35" s="19"/>
      <c r="AG35" s="17"/>
      <c r="AI35" s="18">
        <v>9.3550000000000004</v>
      </c>
      <c r="AJ35" s="69">
        <f>AI35*B35/1</f>
        <v>0.93550000000000011</v>
      </c>
      <c r="AK35" s="19"/>
      <c r="AN35" s="17"/>
      <c r="AP35" s="18">
        <v>9.3550000000000004</v>
      </c>
      <c r="AQ35" s="69">
        <f>AP35*$B$35/1</f>
        <v>0.93550000000000011</v>
      </c>
      <c r="AR35" s="19"/>
      <c r="AU35" s="17"/>
      <c r="AW35" s="18">
        <v>9.3330000000000002</v>
      </c>
      <c r="AX35" s="69">
        <f>AW35*$B$35/1</f>
        <v>0.93330000000000002</v>
      </c>
      <c r="AY35" s="19"/>
      <c r="BB35" s="17"/>
      <c r="BD35" s="18">
        <v>9.3550000000000004</v>
      </c>
      <c r="BE35" s="69">
        <f>BD35*$B$35/1</f>
        <v>0.93550000000000011</v>
      </c>
      <c r="BF35" s="19"/>
    </row>
    <row r="36" spans="1:60">
      <c r="A36" s="70" t="s">
        <v>50</v>
      </c>
      <c r="B36" s="71">
        <v>0.3</v>
      </c>
      <c r="C36" s="71"/>
      <c r="D36" s="71"/>
      <c r="E36" s="71"/>
      <c r="F36" s="71"/>
      <c r="G36" s="72">
        <v>34.817</v>
      </c>
      <c r="H36" s="71">
        <f t="shared" si="37"/>
        <v>10.4451</v>
      </c>
      <c r="I36" s="71"/>
      <c r="J36" s="73"/>
      <c r="K36" s="73"/>
      <c r="L36" s="74"/>
      <c r="M36" s="73"/>
      <c r="N36" s="72">
        <v>34.692</v>
      </c>
      <c r="O36" s="75">
        <f>N36*B36</f>
        <v>10.4076</v>
      </c>
      <c r="P36" s="76"/>
      <c r="Q36" s="73"/>
      <c r="R36" s="73"/>
      <c r="S36" s="75"/>
      <c r="T36" s="73"/>
      <c r="U36" s="73">
        <v>32.448999999999998</v>
      </c>
      <c r="V36" s="75">
        <f t="shared" si="38"/>
        <v>9.7346999999999984</v>
      </c>
      <c r="W36" s="77"/>
      <c r="X36" s="73"/>
      <c r="Y36" s="73"/>
      <c r="Z36" s="74"/>
      <c r="AA36" s="73"/>
      <c r="AB36" s="72">
        <v>28.102</v>
      </c>
      <c r="AC36" s="74">
        <f>AB36*B36/1</f>
        <v>8.4306000000000001</v>
      </c>
      <c r="AD36" s="76"/>
      <c r="AE36" s="73"/>
      <c r="AF36" s="73"/>
      <c r="AG36" s="74"/>
      <c r="AH36" s="73"/>
      <c r="AI36" s="72">
        <v>20.831</v>
      </c>
      <c r="AJ36" s="80">
        <f>AI36*B36/1</f>
        <v>6.2492999999999999</v>
      </c>
      <c r="AK36" s="19"/>
      <c r="AL36" s="73"/>
      <c r="AM36" s="73"/>
      <c r="AN36" s="74"/>
      <c r="AO36" s="73"/>
      <c r="AP36" s="72">
        <f>16.966</f>
        <v>16.966000000000001</v>
      </c>
      <c r="AQ36" s="80">
        <f>AP36*$B$36/1+0.01</f>
        <v>5.0998000000000001</v>
      </c>
      <c r="AR36" s="51"/>
      <c r="AS36" s="73"/>
      <c r="AT36" s="73"/>
      <c r="AU36" s="74"/>
      <c r="AV36" s="73"/>
      <c r="AW36" s="72">
        <f>16.966</f>
        <v>16.966000000000001</v>
      </c>
      <c r="AX36" s="80">
        <f>AW36*$B$36/1+0.01</f>
        <v>5.0998000000000001</v>
      </c>
      <c r="AY36" s="51"/>
      <c r="AZ36" s="73"/>
      <c r="BA36" s="73"/>
      <c r="BB36" s="74"/>
      <c r="BC36" s="73"/>
      <c r="BD36" s="72">
        <f>16.452</f>
        <v>16.452000000000002</v>
      </c>
      <c r="BE36" s="105">
        <f>BD36*$B$36/1+0.01</f>
        <v>4.9455999999999998</v>
      </c>
      <c r="BF36" s="51"/>
    </row>
    <row r="37" spans="1:60">
      <c r="A37" s="59" t="s">
        <v>51</v>
      </c>
      <c r="B37" s="60">
        <v>0.01</v>
      </c>
      <c r="C37" s="60"/>
      <c r="D37" s="60"/>
      <c r="E37" s="60"/>
      <c r="F37" s="60"/>
      <c r="G37" s="61">
        <v>4.0000000000000001E-3</v>
      </c>
      <c r="H37" s="60">
        <f t="shared" si="37"/>
        <v>4.0000000000000003E-5</v>
      </c>
      <c r="I37" s="60"/>
      <c r="J37" s="62"/>
      <c r="K37" s="62"/>
      <c r="L37" s="63"/>
      <c r="M37" s="62"/>
      <c r="N37" s="61">
        <v>1.278</v>
      </c>
      <c r="O37" s="64">
        <f>N37*B37+0.01</f>
        <v>2.2780000000000002E-2</v>
      </c>
      <c r="P37" s="65"/>
      <c r="Q37" s="62"/>
      <c r="R37" s="62"/>
      <c r="S37" s="64"/>
      <c r="T37" s="62"/>
      <c r="U37" s="62">
        <v>0.03</v>
      </c>
      <c r="V37" s="64">
        <f t="shared" si="38"/>
        <v>2.9999999999999997E-4</v>
      </c>
      <c r="W37" s="66"/>
      <c r="X37" s="62"/>
      <c r="Y37" s="62"/>
      <c r="Z37" s="63"/>
      <c r="AA37" s="62"/>
      <c r="AB37" s="61">
        <v>1.2250000000000001</v>
      </c>
      <c r="AC37" s="63">
        <f t="shared" ref="AC37:AC42" si="39">AB37*B37</f>
        <v>1.225E-2</v>
      </c>
      <c r="AD37" s="65"/>
      <c r="AE37" s="62"/>
      <c r="AF37" s="62"/>
      <c r="AG37" s="63"/>
      <c r="AH37" s="62"/>
      <c r="AI37" s="61">
        <v>0.84</v>
      </c>
      <c r="AJ37" s="67">
        <f>AI37*B37</f>
        <v>8.3999999999999995E-3</v>
      </c>
      <c r="AK37" s="19"/>
      <c r="AL37" s="62"/>
      <c r="AM37" s="62"/>
      <c r="AN37" s="63"/>
      <c r="AO37" s="62"/>
      <c r="AP37" s="61">
        <v>0</v>
      </c>
      <c r="AQ37" s="67">
        <f>AP37*I37</f>
        <v>0</v>
      </c>
      <c r="AR37" s="19"/>
      <c r="AS37" s="62"/>
      <c r="AT37" s="62"/>
      <c r="AU37" s="63"/>
      <c r="AV37" s="62"/>
      <c r="AW37" s="61">
        <v>0</v>
      </c>
      <c r="AX37" s="67">
        <f>AW37*P37</f>
        <v>0</v>
      </c>
      <c r="AY37" s="19"/>
      <c r="AZ37" s="62"/>
      <c r="BA37" s="62"/>
      <c r="BB37" s="63"/>
      <c r="BC37" s="62"/>
      <c r="BD37" s="61">
        <v>0</v>
      </c>
      <c r="BE37" s="67">
        <f>BD37*W37</f>
        <v>0</v>
      </c>
      <c r="BF37" s="19"/>
    </row>
    <row r="38" spans="1:60">
      <c r="A38" s="70" t="s">
        <v>52</v>
      </c>
      <c r="B38" s="71">
        <v>0.09</v>
      </c>
      <c r="C38" s="71"/>
      <c r="D38" s="71"/>
      <c r="E38" s="71"/>
      <c r="F38" s="71"/>
      <c r="G38" s="72">
        <v>44.576000000000001</v>
      </c>
      <c r="H38" s="71">
        <f t="shared" si="37"/>
        <v>4.0118400000000003</v>
      </c>
      <c r="I38" s="71"/>
      <c r="J38" s="73"/>
      <c r="K38" s="73"/>
      <c r="L38" s="74"/>
      <c r="M38" s="73"/>
      <c r="N38" s="72">
        <v>55.155000000000001</v>
      </c>
      <c r="O38" s="75">
        <f>N38*B38</f>
        <v>4.9639499999999996</v>
      </c>
      <c r="P38" s="76"/>
      <c r="Q38" s="73"/>
      <c r="R38" s="73"/>
      <c r="S38" s="75"/>
      <c r="T38" s="73"/>
      <c r="U38" s="73">
        <v>40.408000000000001</v>
      </c>
      <c r="V38" s="75">
        <f t="shared" si="38"/>
        <v>3.63672</v>
      </c>
      <c r="W38" s="79"/>
      <c r="X38" s="73"/>
      <c r="Y38" s="73"/>
      <c r="Z38" s="74"/>
      <c r="AA38" s="73"/>
      <c r="AB38" s="72">
        <v>35.661000000000001</v>
      </c>
      <c r="AC38" s="74">
        <f t="shared" si="39"/>
        <v>3.2094900000000002</v>
      </c>
      <c r="AD38" s="76"/>
      <c r="AE38" s="73"/>
      <c r="AF38" s="73"/>
      <c r="AG38" s="74"/>
      <c r="AH38" s="73"/>
      <c r="AI38" s="72">
        <v>33.780999999999999</v>
      </c>
      <c r="AJ38" s="80">
        <f>AI38*B38</f>
        <v>3.0402899999999997</v>
      </c>
      <c r="AK38" s="19"/>
      <c r="AL38" s="73"/>
      <c r="AM38" s="73"/>
      <c r="AN38" s="74"/>
      <c r="AO38" s="73"/>
      <c r="AP38" s="72">
        <v>33.767000000000003</v>
      </c>
      <c r="AQ38" s="80">
        <f>AP38*$B$38</f>
        <v>3.0390300000000003</v>
      </c>
      <c r="AR38" s="19"/>
      <c r="AS38" s="73"/>
      <c r="AT38" s="73"/>
      <c r="AU38" s="74"/>
      <c r="AV38" s="73"/>
      <c r="AW38" s="72">
        <v>15.411</v>
      </c>
      <c r="AX38" s="80">
        <f>AW38*$B$38</f>
        <v>1.3869899999999999</v>
      </c>
      <c r="AY38" s="19"/>
      <c r="AZ38" s="73"/>
      <c r="BA38" s="73"/>
      <c r="BB38" s="74"/>
      <c r="BC38" s="73"/>
      <c r="BD38" s="72">
        <v>18.510999999999999</v>
      </c>
      <c r="BE38" s="80">
        <f>BD38*$B$38</f>
        <v>1.6659899999999999</v>
      </c>
      <c r="BF38" s="19"/>
    </row>
    <row r="39" spans="1:60">
      <c r="A39" s="52" t="s">
        <v>53</v>
      </c>
      <c r="B39" s="53">
        <v>4</v>
      </c>
      <c r="C39" s="53"/>
      <c r="D39" s="53"/>
      <c r="E39" s="53"/>
      <c r="F39" s="53"/>
      <c r="G39" s="54">
        <v>1</v>
      </c>
      <c r="H39" s="53">
        <f t="shared" si="37"/>
        <v>4</v>
      </c>
      <c r="I39" s="53"/>
      <c r="J39" s="55"/>
      <c r="K39" s="55"/>
      <c r="L39" s="16"/>
      <c r="M39" s="55"/>
      <c r="N39" s="54">
        <v>1</v>
      </c>
      <c r="O39" s="48">
        <f>N39*B39</f>
        <v>4</v>
      </c>
      <c r="P39" s="56"/>
      <c r="Q39" s="55"/>
      <c r="R39" s="54"/>
      <c r="S39" s="48"/>
      <c r="T39" s="55"/>
      <c r="U39" s="55">
        <v>1</v>
      </c>
      <c r="V39" s="48">
        <f t="shared" si="38"/>
        <v>4</v>
      </c>
      <c r="W39" s="58"/>
      <c r="X39" s="55"/>
      <c r="Y39" s="55"/>
      <c r="Z39" s="16"/>
      <c r="AA39" s="55"/>
      <c r="AB39" s="54">
        <v>1</v>
      </c>
      <c r="AC39" s="16">
        <f t="shared" si="39"/>
        <v>4</v>
      </c>
      <c r="AD39" s="56"/>
      <c r="AE39" s="55"/>
      <c r="AF39" s="55"/>
      <c r="AG39" s="16"/>
      <c r="AH39" s="55"/>
      <c r="AI39" s="54">
        <v>1</v>
      </c>
      <c r="AJ39" s="57">
        <f>AI39*B39</f>
        <v>4</v>
      </c>
      <c r="AK39" s="19"/>
      <c r="AL39" s="55"/>
      <c r="AM39" s="55"/>
      <c r="AN39" s="16"/>
      <c r="AO39" s="55"/>
      <c r="AP39" s="54">
        <v>1</v>
      </c>
      <c r="AQ39" s="57">
        <f>AP39*$B$39</f>
        <v>4</v>
      </c>
      <c r="AR39" s="19"/>
      <c r="AS39" s="55"/>
      <c r="AT39" s="55"/>
      <c r="AU39" s="16"/>
      <c r="AV39" s="55"/>
      <c r="AW39" s="54">
        <v>1</v>
      </c>
      <c r="AX39" s="57">
        <f>AW39*$B$39</f>
        <v>4</v>
      </c>
      <c r="AY39" s="19"/>
      <c r="AZ39" s="55"/>
      <c r="BA39" s="55"/>
      <c r="BB39" s="16"/>
      <c r="BC39" s="55"/>
      <c r="BD39" s="54">
        <v>1</v>
      </c>
      <c r="BE39" s="57">
        <f>BD39*$B$39</f>
        <v>4</v>
      </c>
      <c r="BF39" s="19"/>
    </row>
    <row r="40" spans="1:60">
      <c r="A40" s="59" t="s">
        <v>54</v>
      </c>
      <c r="B40" s="82">
        <v>0.1</v>
      </c>
      <c r="C40" s="60"/>
      <c r="D40" s="60"/>
      <c r="E40" s="60"/>
      <c r="F40" s="60"/>
      <c r="G40" s="61">
        <v>4</v>
      </c>
      <c r="H40" s="60">
        <f t="shared" si="37"/>
        <v>0.4</v>
      </c>
      <c r="I40" s="60"/>
      <c r="J40" s="62"/>
      <c r="K40" s="62"/>
      <c r="L40" s="63"/>
      <c r="M40" s="62"/>
      <c r="N40" s="61">
        <v>4</v>
      </c>
      <c r="O40" s="64">
        <f>N40*B40</f>
        <v>0.4</v>
      </c>
      <c r="P40" s="65"/>
      <c r="Q40" s="62"/>
      <c r="R40" s="62"/>
      <c r="S40" s="64"/>
      <c r="T40" s="62"/>
      <c r="U40" s="62">
        <v>5</v>
      </c>
      <c r="V40" s="64">
        <f t="shared" si="38"/>
        <v>0.5</v>
      </c>
      <c r="W40" s="66"/>
      <c r="X40" s="62"/>
      <c r="Y40" s="62"/>
      <c r="Z40" s="63"/>
      <c r="AA40" s="62"/>
      <c r="AB40" s="61">
        <v>5</v>
      </c>
      <c r="AC40" s="63">
        <f t="shared" si="39"/>
        <v>0.5</v>
      </c>
      <c r="AD40" s="65"/>
      <c r="AE40" s="62"/>
      <c r="AF40" s="62"/>
      <c r="AG40" s="63"/>
      <c r="AH40" s="62"/>
      <c r="AI40" s="61">
        <v>5</v>
      </c>
      <c r="AJ40" s="67">
        <f>AI40*0.5</f>
        <v>2.5</v>
      </c>
      <c r="AK40" s="19"/>
      <c r="AL40" s="62"/>
      <c r="AM40" s="62"/>
      <c r="AN40" s="63"/>
      <c r="AO40" s="62"/>
      <c r="AP40" s="61">
        <v>5</v>
      </c>
      <c r="AQ40" s="67">
        <f>AP40*$B$40</f>
        <v>0.5</v>
      </c>
      <c r="AR40" s="19"/>
      <c r="AS40" s="62"/>
      <c r="AT40" s="62"/>
      <c r="AU40" s="63"/>
      <c r="AV40" s="62"/>
      <c r="AW40" s="61">
        <v>5</v>
      </c>
      <c r="AX40" s="67">
        <f>AW40*0.5</f>
        <v>2.5</v>
      </c>
      <c r="AY40" s="19"/>
      <c r="AZ40" s="62"/>
      <c r="BA40" s="62"/>
      <c r="BB40" s="63"/>
      <c r="BC40" s="62"/>
      <c r="BD40" s="61">
        <v>5</v>
      </c>
      <c r="BE40" s="67">
        <f>BD40*0.5</f>
        <v>2.5</v>
      </c>
      <c r="BF40" s="19"/>
    </row>
    <row r="41" spans="1:60">
      <c r="A41" s="70" t="s">
        <v>55</v>
      </c>
      <c r="B41" s="71">
        <v>0.4</v>
      </c>
      <c r="C41" s="71"/>
      <c r="D41" s="71"/>
      <c r="E41" s="71"/>
      <c r="F41" s="71"/>
      <c r="G41" s="72">
        <v>160055</v>
      </c>
      <c r="H41" s="71">
        <f>G41*B41/1000000</f>
        <v>6.4021999999999996E-2</v>
      </c>
      <c r="I41" s="71"/>
      <c r="J41" s="73"/>
      <c r="K41" s="73"/>
      <c r="L41" s="74"/>
      <c r="M41" s="73"/>
      <c r="N41" s="72">
        <v>195171</v>
      </c>
      <c r="O41" s="75">
        <f>N41*B41/1000000</f>
        <v>7.806840000000001E-2</v>
      </c>
      <c r="P41" s="76"/>
      <c r="Q41" s="73"/>
      <c r="R41" s="73"/>
      <c r="S41" s="75"/>
      <c r="T41" s="73"/>
      <c r="U41" s="73">
        <v>159898</v>
      </c>
      <c r="V41" s="75">
        <f>U41*B41/1000000</f>
        <v>6.3959200000000008E-2</v>
      </c>
      <c r="W41" s="79"/>
      <c r="X41" s="73"/>
      <c r="Y41" s="73"/>
      <c r="Z41" s="74"/>
      <c r="AA41" s="73"/>
      <c r="AB41" s="72">
        <f>201547/1000000</f>
        <v>0.201547</v>
      </c>
      <c r="AC41" s="74">
        <f t="shared" si="39"/>
        <v>8.0618800000000004E-2</v>
      </c>
      <c r="AD41" s="76"/>
      <c r="AE41" s="73"/>
      <c r="AF41" s="73"/>
      <c r="AG41" s="74"/>
      <c r="AH41" s="73"/>
      <c r="AI41" s="72">
        <f>180372/1000000</f>
        <v>0.180372</v>
      </c>
      <c r="AJ41" s="80">
        <f>AI41*B41</f>
        <v>7.2148799999999999E-2</v>
      </c>
      <c r="AK41" s="19"/>
      <c r="AL41" s="73"/>
      <c r="AM41" s="73"/>
      <c r="AN41" s="74"/>
      <c r="AO41" s="73"/>
      <c r="AP41" s="72">
        <v>2</v>
      </c>
      <c r="AQ41" s="80">
        <f>AP41*$B$41/10</f>
        <v>0.08</v>
      </c>
      <c r="AR41" s="51"/>
      <c r="AS41" s="73"/>
      <c r="AT41" s="73"/>
      <c r="AU41" s="74"/>
      <c r="AV41" s="73"/>
      <c r="AW41" s="72">
        <f>179717/100000</f>
        <v>1.7971699999999999</v>
      </c>
      <c r="AX41" s="80">
        <f>AW41*$B$41/10</f>
        <v>7.1886800000000001E-2</v>
      </c>
      <c r="AY41" s="51"/>
      <c r="AZ41" s="73"/>
      <c r="BA41" s="73"/>
      <c r="BB41" s="74"/>
      <c r="BC41" s="73"/>
      <c r="BD41" s="72">
        <f>182037/100000</f>
        <v>1.82037</v>
      </c>
      <c r="BE41" s="80">
        <f>BD41*$B$41/10</f>
        <v>7.2814799999999999E-2</v>
      </c>
      <c r="BF41" s="51"/>
    </row>
    <row r="42" spans="1:60">
      <c r="A42" s="59" t="s">
        <v>95</v>
      </c>
      <c r="B42" s="60">
        <v>0.51</v>
      </c>
      <c r="C42" s="60"/>
      <c r="D42" s="60"/>
      <c r="E42" s="60"/>
      <c r="F42" s="60"/>
      <c r="G42" s="61"/>
      <c r="H42" s="60"/>
      <c r="I42" s="60"/>
      <c r="J42" s="62"/>
      <c r="K42" s="62"/>
      <c r="L42" s="63"/>
      <c r="M42" s="62"/>
      <c r="N42" s="61">
        <v>34</v>
      </c>
      <c r="O42" s="64">
        <f>N42*B42</f>
        <v>17.34</v>
      </c>
      <c r="P42" s="65"/>
      <c r="Q42" s="62"/>
      <c r="R42" s="62"/>
      <c r="S42" s="64"/>
      <c r="T42" s="62"/>
      <c r="U42" s="62">
        <v>720</v>
      </c>
      <c r="V42" s="64">
        <f>U42*B42</f>
        <v>367.2</v>
      </c>
      <c r="W42" s="81"/>
      <c r="X42" s="62"/>
      <c r="Y42" s="62"/>
      <c r="Z42" s="63"/>
      <c r="AA42" s="62"/>
      <c r="AB42" s="61">
        <v>862</v>
      </c>
      <c r="AC42" s="63">
        <f t="shared" si="39"/>
        <v>439.62</v>
      </c>
      <c r="AD42" s="65"/>
      <c r="AE42" s="62"/>
      <c r="AF42" s="62"/>
      <c r="AG42" s="63"/>
      <c r="AH42" s="62"/>
      <c r="AI42" s="61">
        <v>1024</v>
      </c>
      <c r="AJ42" s="67">
        <f>AI42*B42</f>
        <v>522.24</v>
      </c>
      <c r="AK42" s="19"/>
      <c r="AL42" s="62"/>
      <c r="AM42" s="62"/>
      <c r="AN42" s="63"/>
      <c r="AO42" s="62"/>
      <c r="AP42" s="61">
        <v>1024</v>
      </c>
      <c r="AQ42" s="107">
        <v>263.58791000000019</v>
      </c>
      <c r="AR42" s="19"/>
      <c r="AS42" s="62"/>
      <c r="AT42" s="62"/>
      <c r="AU42" s="63"/>
      <c r="AV42" s="62"/>
      <c r="AW42" s="61">
        <v>720</v>
      </c>
      <c r="AX42" s="107">
        <v>263.60140000000001</v>
      </c>
      <c r="AY42" s="19"/>
      <c r="AZ42" s="62"/>
      <c r="BA42" s="62"/>
      <c r="BB42" s="63"/>
      <c r="BC42" s="62"/>
      <c r="BD42" s="61">
        <v>720</v>
      </c>
      <c r="BE42" s="107">
        <v>263.58609999999999</v>
      </c>
      <c r="BF42" s="19"/>
      <c r="BG42" s="20"/>
    </row>
    <row r="43" spans="1:60">
      <c r="A43" s="68" t="s">
        <v>96</v>
      </c>
      <c r="B43" s="9">
        <v>0.43</v>
      </c>
      <c r="C43" s="9"/>
      <c r="D43" s="9"/>
      <c r="E43" s="9"/>
      <c r="F43" s="9"/>
      <c r="G43" s="18"/>
      <c r="H43" s="9"/>
      <c r="I43" s="9"/>
      <c r="L43" s="17"/>
      <c r="N43" s="18"/>
      <c r="O43" s="20"/>
      <c r="P43" s="19"/>
      <c r="S43" s="20"/>
      <c r="V43" s="20"/>
      <c r="W43" s="21"/>
      <c r="Z43" s="17"/>
      <c r="AB43" s="18"/>
      <c r="AC43" s="17"/>
      <c r="AD43" s="19"/>
      <c r="AG43" s="17"/>
      <c r="AI43" s="18">
        <v>9</v>
      </c>
      <c r="AJ43" s="69">
        <f>AI43*B43</f>
        <v>3.87</v>
      </c>
      <c r="AK43" s="19"/>
      <c r="AN43" s="17"/>
      <c r="AP43" s="18">
        <v>9</v>
      </c>
      <c r="AQ43" s="69">
        <f>AP43*0</f>
        <v>0</v>
      </c>
      <c r="AR43" s="19"/>
      <c r="AU43" s="17"/>
      <c r="AW43" s="18">
        <v>9</v>
      </c>
      <c r="AX43" s="69">
        <f>AW43*0</f>
        <v>0</v>
      </c>
      <c r="AY43" s="19"/>
      <c r="BB43" s="17"/>
      <c r="BD43" s="18">
        <v>9</v>
      </c>
      <c r="BE43" s="69">
        <f>BD43*0</f>
        <v>0</v>
      </c>
      <c r="BF43" s="19"/>
    </row>
    <row r="44" spans="1:60">
      <c r="A44" s="70" t="s">
        <v>57</v>
      </c>
      <c r="B44" s="71"/>
      <c r="C44" s="71"/>
      <c r="D44" s="71"/>
      <c r="E44" s="71"/>
      <c r="F44" s="71"/>
      <c r="G44" s="72"/>
      <c r="H44" s="71"/>
      <c r="I44" s="71"/>
      <c r="J44" s="73"/>
      <c r="K44" s="73"/>
      <c r="L44" s="74"/>
      <c r="M44" s="73"/>
      <c r="N44" s="72"/>
      <c r="O44" s="75"/>
      <c r="P44" s="76"/>
      <c r="Q44" s="73"/>
      <c r="R44" s="73"/>
      <c r="S44" s="75"/>
      <c r="T44" s="73"/>
      <c r="U44" s="73"/>
      <c r="V44" s="75">
        <v>15</v>
      </c>
      <c r="W44" s="79"/>
      <c r="X44" s="73"/>
      <c r="Y44" s="73"/>
      <c r="Z44" s="74"/>
      <c r="AA44" s="73"/>
      <c r="AB44" s="72"/>
      <c r="AC44" s="74"/>
      <c r="AD44" s="76"/>
      <c r="AE44" s="73"/>
      <c r="AF44" s="73"/>
      <c r="AG44" s="74"/>
      <c r="AH44" s="73"/>
      <c r="AI44" s="72"/>
      <c r="AJ44" s="80">
        <v>0</v>
      </c>
      <c r="AK44" s="51"/>
      <c r="AL44" s="73"/>
      <c r="AM44" s="73"/>
      <c r="AN44" s="74"/>
      <c r="AO44" s="73"/>
      <c r="AP44" s="72"/>
      <c r="AQ44" s="80">
        <v>0</v>
      </c>
      <c r="AR44" s="51"/>
      <c r="AS44" s="73"/>
      <c r="AT44" s="73"/>
      <c r="AU44" s="74"/>
      <c r="AV44" s="73"/>
      <c r="AW44" s="72"/>
      <c r="AX44" s="80">
        <v>0</v>
      </c>
      <c r="AY44" s="51"/>
      <c r="AZ44" s="73"/>
      <c r="BA44" s="73"/>
      <c r="BB44" s="74"/>
      <c r="BC44" s="73"/>
      <c r="BD44" s="72"/>
      <c r="BE44" s="80">
        <v>0</v>
      </c>
      <c r="BF44" s="51"/>
      <c r="BH44" s="9"/>
    </row>
    <row r="45" spans="1:60" s="27" customFormat="1" ht="12">
      <c r="A45" s="27" t="s">
        <v>97</v>
      </c>
      <c r="B45" s="33"/>
      <c r="C45" s="33"/>
      <c r="D45" s="33"/>
      <c r="E45" s="33"/>
      <c r="F45" s="33"/>
      <c r="G45" s="34"/>
      <c r="H45" s="36">
        <f>SUM(H22:H44)</f>
        <v>878.97254200000009</v>
      </c>
      <c r="I45" s="33"/>
      <c r="L45" s="29"/>
      <c r="N45" s="34"/>
      <c r="O45" s="36">
        <f>SUM(O22:O44)</f>
        <v>831.02752340000018</v>
      </c>
      <c r="P45" s="31"/>
      <c r="S45" s="29"/>
      <c r="V45" s="36">
        <f>SUM(V22:V44)</f>
        <v>1339.8478941999999</v>
      </c>
      <c r="W45" s="32"/>
      <c r="Z45" s="29"/>
      <c r="AB45" s="34"/>
      <c r="AC45" s="36">
        <f>SUM(AC22:AC44)</f>
        <v>1490.3780687999997</v>
      </c>
      <c r="AD45" s="31"/>
      <c r="AG45" s="29"/>
      <c r="AI45" s="34"/>
      <c r="AJ45" s="36">
        <f>SUM(AJ22:AJ44)</f>
        <v>1780.5858637999995</v>
      </c>
      <c r="AK45" s="83"/>
      <c r="AN45" s="29"/>
      <c r="AP45" s="34"/>
      <c r="AQ45" s="36">
        <f>SUM(AQ22:AQ44)</f>
        <v>1394.5159199999998</v>
      </c>
      <c r="AR45" s="83"/>
      <c r="AU45" s="29"/>
      <c r="AW45" s="34"/>
      <c r="AX45" s="36">
        <f>SUM(AX22:AX44)</f>
        <v>1387.8351167999999</v>
      </c>
      <c r="AY45" s="83"/>
      <c r="BB45" s="29"/>
      <c r="BD45" s="34"/>
      <c r="BE45" s="36">
        <f>SUM(BE22:BE44)</f>
        <v>1392.3913147999999</v>
      </c>
      <c r="BF45" s="83"/>
    </row>
    <row r="46" spans="1:60" s="27" customFormat="1" ht="12">
      <c r="A46" s="27" t="s">
        <v>98</v>
      </c>
      <c r="B46" s="33"/>
      <c r="C46" s="33"/>
      <c r="D46" s="33"/>
      <c r="E46" s="33"/>
      <c r="F46" s="33"/>
      <c r="G46" s="34"/>
      <c r="H46" s="36">
        <f>H21+H45</f>
        <v>4249.7706420000004</v>
      </c>
      <c r="I46" s="33"/>
      <c r="L46" s="29"/>
      <c r="N46" s="34"/>
      <c r="O46" s="36">
        <f>O21+O45</f>
        <v>4550.4691673999996</v>
      </c>
      <c r="P46" s="31"/>
      <c r="S46" s="29"/>
      <c r="V46" s="36">
        <f>V21+V45</f>
        <v>6996.2663542000009</v>
      </c>
      <c r="W46" s="32"/>
      <c r="Z46" s="29"/>
      <c r="AB46" s="34"/>
      <c r="AC46" s="36">
        <f>AC21+AC45</f>
        <v>7929.7120127999997</v>
      </c>
      <c r="AD46" s="31"/>
      <c r="AG46" s="29"/>
      <c r="AI46" s="34"/>
      <c r="AJ46" s="36">
        <f>AJ21+AJ45</f>
        <v>8374.8680557999996</v>
      </c>
      <c r="AK46" s="31"/>
      <c r="AN46" s="29"/>
      <c r="AP46" s="34"/>
      <c r="AQ46" s="36">
        <f>AQ21+AQ45</f>
        <v>6479.35</v>
      </c>
      <c r="AR46" s="31"/>
      <c r="AU46" s="29"/>
      <c r="AW46" s="34"/>
      <c r="AX46" s="36">
        <f>AX21+AX45</f>
        <v>6124.1499807999999</v>
      </c>
      <c r="AY46" s="31"/>
      <c r="BB46" s="29"/>
      <c r="BD46" s="34"/>
      <c r="BE46" s="36">
        <f>BE21+BE45</f>
        <v>5339.7299868</v>
      </c>
      <c r="BF46" s="31"/>
    </row>
    <row r="47" spans="1:60" s="27" customFormat="1" ht="12">
      <c r="A47" s="27" t="s">
        <v>99</v>
      </c>
      <c r="B47" s="33"/>
      <c r="C47" s="33"/>
      <c r="D47" s="33"/>
      <c r="E47" s="33"/>
      <c r="F47" s="33"/>
      <c r="G47" s="34"/>
      <c r="H47" s="36">
        <v>511</v>
      </c>
      <c r="I47" s="33"/>
      <c r="L47" s="29"/>
      <c r="N47" s="34"/>
      <c r="O47" s="36">
        <v>511</v>
      </c>
      <c r="P47" s="31"/>
      <c r="S47" s="29"/>
      <c r="V47" s="36">
        <v>511</v>
      </c>
      <c r="W47" s="32"/>
      <c r="Z47" s="29"/>
      <c r="AB47" s="34"/>
      <c r="AC47" s="36">
        <v>511</v>
      </c>
      <c r="AD47" s="31"/>
      <c r="AG47" s="29"/>
      <c r="AI47" s="34"/>
      <c r="AJ47" s="36">
        <v>511</v>
      </c>
      <c r="AK47" s="31"/>
      <c r="AN47" s="29"/>
      <c r="AP47" s="34"/>
      <c r="AQ47" s="36">
        <v>511</v>
      </c>
      <c r="AR47" s="31"/>
      <c r="AU47" s="29"/>
      <c r="AW47" s="34"/>
      <c r="AX47" s="36">
        <v>511</v>
      </c>
      <c r="AY47" s="31"/>
      <c r="BB47" s="29"/>
      <c r="BD47" s="34"/>
      <c r="BE47" s="36">
        <v>511</v>
      </c>
      <c r="BF47" s="31"/>
    </row>
    <row r="48" spans="1:60">
      <c r="A48" s="26" t="s">
        <v>100</v>
      </c>
      <c r="B48" s="9"/>
      <c r="C48" s="9"/>
      <c r="D48" s="9"/>
      <c r="E48" s="9"/>
      <c r="F48" s="9"/>
      <c r="G48" s="18"/>
      <c r="H48" s="17">
        <f>H46+H47</f>
        <v>4760.7706420000004</v>
      </c>
      <c r="I48" s="9"/>
      <c r="L48" s="17"/>
      <c r="N48" s="18"/>
      <c r="O48" s="17">
        <f>O46+O47</f>
        <v>5061.4691673999996</v>
      </c>
      <c r="P48" s="19"/>
      <c r="S48" s="17"/>
      <c r="U48" s="17"/>
      <c r="V48" s="17">
        <f>V46+V47</f>
        <v>7507.2663542000009</v>
      </c>
      <c r="W48" s="22"/>
      <c r="Z48" s="17"/>
      <c r="AB48" s="17"/>
      <c r="AC48" s="17">
        <f>AC46+AC47</f>
        <v>8440.7120127999988</v>
      </c>
      <c r="AD48" s="19"/>
      <c r="AG48" s="17"/>
      <c r="AI48" s="17"/>
      <c r="AJ48" s="17">
        <f>AJ46+AJ47</f>
        <v>8885.8680557999996</v>
      </c>
      <c r="AK48" s="19"/>
      <c r="AN48" s="17"/>
      <c r="AP48" s="17"/>
      <c r="AQ48" s="17">
        <f>AQ46+AQ47</f>
        <v>6990.35</v>
      </c>
      <c r="AR48" s="19"/>
      <c r="AU48" s="17"/>
      <c r="AW48" s="17"/>
      <c r="AX48" s="17">
        <f>AX46+AX47</f>
        <v>6635.1499807999999</v>
      </c>
      <c r="AY48" s="19"/>
      <c r="BB48" s="17"/>
      <c r="BD48" s="17"/>
      <c r="BE48" s="17">
        <f>BE46+BE47</f>
        <v>5850.7299868</v>
      </c>
      <c r="BF48" s="19"/>
    </row>
    <row r="49" spans="1:59">
      <c r="A49" s="4" t="s">
        <v>101</v>
      </c>
      <c r="B49" s="9"/>
      <c r="C49" s="9"/>
      <c r="D49" s="9"/>
      <c r="E49" s="9"/>
      <c r="F49" s="9"/>
      <c r="G49" s="18"/>
      <c r="H49" s="9">
        <f>H48*0.16</f>
        <v>761.72330272000011</v>
      </c>
      <c r="I49" s="9"/>
      <c r="L49" s="17"/>
      <c r="N49" s="18"/>
      <c r="O49" s="9">
        <f>O48*0.16</f>
        <v>809.83506678399999</v>
      </c>
      <c r="P49" s="19"/>
      <c r="S49" s="17"/>
      <c r="U49" s="17"/>
      <c r="V49" s="9">
        <f>V48*0.16</f>
        <v>1201.1626166720002</v>
      </c>
      <c r="W49" s="19"/>
      <c r="Z49" s="17"/>
      <c r="AB49" s="17"/>
      <c r="AC49" s="9">
        <f>AC48*0.16</f>
        <v>1350.5139220479998</v>
      </c>
      <c r="AD49" s="19"/>
      <c r="AG49" s="17"/>
      <c r="AI49" s="17"/>
      <c r="AJ49" s="9">
        <f>AJ48*0.16</f>
        <v>1421.7388889280001</v>
      </c>
      <c r="AK49" s="19"/>
      <c r="AL49" s="20"/>
      <c r="AN49" s="17"/>
      <c r="AP49" s="17"/>
      <c r="AQ49" s="9">
        <f>AQ48*0.16</f>
        <v>1118.4560000000001</v>
      </c>
      <c r="AR49" s="19"/>
      <c r="AU49" s="17"/>
      <c r="AW49" s="17"/>
      <c r="AX49" s="9">
        <f>AX48*0.16</f>
        <v>1061.623996928</v>
      </c>
      <c r="AY49" s="19"/>
      <c r="BB49" s="17"/>
      <c r="BD49" s="17"/>
      <c r="BE49" s="9">
        <f>BE48*0.16</f>
        <v>936.11679788800006</v>
      </c>
      <c r="BF49" s="19"/>
    </row>
    <row r="50" spans="1:59" ht="13.9">
      <c r="A50" s="47" t="s">
        <v>59</v>
      </c>
      <c r="H50" s="35">
        <f>H48+H49</f>
        <v>5522.4939447200004</v>
      </c>
      <c r="O50" s="35">
        <f>O48+O49</f>
        <v>5871.3042341839991</v>
      </c>
      <c r="Q50" s="20"/>
      <c r="V50" s="35">
        <f>V48+V49</f>
        <v>8708.4289708720007</v>
      </c>
      <c r="AC50" s="35">
        <f>AC48+AC49</f>
        <v>9791.2259348479984</v>
      </c>
      <c r="AJ50" s="35">
        <f>AJ48+AJ49</f>
        <v>10307.606944727999</v>
      </c>
      <c r="AQ50" s="35">
        <f>AQ48+AQ49</f>
        <v>8108.8060000000005</v>
      </c>
      <c r="AX50" s="35">
        <f>AX48+AX49</f>
        <v>7696.7739777280003</v>
      </c>
      <c r="BE50" s="35">
        <f>BE48+BE49</f>
        <v>6786.8467846880003</v>
      </c>
      <c r="BG50" s="20"/>
    </row>
    <row r="52" spans="1:59">
      <c r="AR52" s="108"/>
    </row>
    <row r="55" spans="1:59">
      <c r="AZ55" s="9"/>
    </row>
  </sheetData>
  <mergeCells count="8">
    <mergeCell ref="C1:I1"/>
    <mergeCell ref="AE1:AK1"/>
    <mergeCell ref="AS1:AY1"/>
    <mergeCell ref="AZ1:BF1"/>
    <mergeCell ref="AL1:AR1"/>
    <mergeCell ref="J1:P1"/>
    <mergeCell ref="Q1:W1"/>
    <mergeCell ref="X1:AD1"/>
  </mergeCells>
  <phoneticPr fontId="28" type="noConversion"/>
  <pageMargins left="0.70866141732283472" right="0.70866141732283472" top="0.74803149606299213" bottom="0.39370078740157483" header="0.31496062992125984" footer="0.31496062992125984"/>
  <pageSetup paperSize="9" orientation="landscape" r:id="rId1"/>
  <headerFooter>
    <oddHeader xml:space="preserve">&amp;CConsumo Detallado &amp;RComparativo  Meses  </oddHeader>
    <oddFooter>&amp;CPagina &amp;P/&amp;N</oddFooter>
  </headerFooter>
  <ignoredErrors>
    <ignoredError sqref="AG9 AJ40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sistemas</dc:creator>
  <cp:keywords/>
  <dc:description/>
  <cp:lastModifiedBy>Cesar Larios Jurado</cp:lastModifiedBy>
  <cp:revision/>
  <dcterms:created xsi:type="dcterms:W3CDTF">2022-07-25T23:03:44Z</dcterms:created>
  <dcterms:modified xsi:type="dcterms:W3CDTF">2026-03-27T00:33:22Z</dcterms:modified>
  <cp:category/>
  <cp:contentStatus/>
</cp:coreProperties>
</file>