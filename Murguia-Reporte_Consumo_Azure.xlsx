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 Ejecutivo" sheetId="1" state="visible" r:id="rId1"/>
    <sheet xmlns:r="http://schemas.openxmlformats.org/officeDocument/2006/relationships" name="Gráficas" sheetId="2" state="visible" r:id="rId2"/>
    <sheet xmlns:r="http://schemas.openxmlformats.org/officeDocument/2006/relationships" name="Recomendacion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.00"/>
    <numFmt numFmtId="165" formatCode="0.0%"/>
  </numFmts>
  <fonts count="17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i val="1"/>
      <color rgb="00FFFFFF"/>
      <sz val="10"/>
    </font>
    <font>
      <name val="Arial"/>
      <b val="1"/>
      <color rgb="00FFFFFF"/>
      <sz val="9"/>
    </font>
    <font>
      <name val="Arial"/>
      <b val="1"/>
      <color rgb="002E75B6"/>
      <sz val="14"/>
    </font>
    <font>
      <name val="Arial"/>
      <b val="1"/>
      <color rgb="00C00000"/>
      <sz val="14"/>
    </font>
    <font>
      <name val="Arial"/>
      <b val="1"/>
      <color rgb="00375623"/>
      <sz val="14"/>
    </font>
    <font>
      <name val="Arial"/>
      <b val="1"/>
      <color rgb="00FFFFFF"/>
      <sz val="11"/>
    </font>
    <font>
      <name val="Arial"/>
      <sz val="10"/>
    </font>
    <font>
      <name val="Arial"/>
      <color rgb="007F7F7F"/>
      <sz val="10"/>
    </font>
    <font>
      <name val="Arial"/>
      <b val="1"/>
      <color rgb="00000000"/>
      <sz val="10"/>
    </font>
    <font>
      <name val="Arial"/>
      <b val="1"/>
      <color rgb="00C00000"/>
      <sz val="10"/>
    </font>
    <font>
      <name val="Arial"/>
      <b val="1"/>
      <color rgb="00375623"/>
      <sz val="10"/>
    </font>
    <font>
      <name val="Arial"/>
      <color rgb="00000000"/>
      <sz val="10"/>
    </font>
    <font>
      <name val="Arial"/>
      <b val="1"/>
      <color rgb="007F6000"/>
      <sz val="10"/>
    </font>
    <font>
      <name val="Arial"/>
      <b val="1"/>
      <color rgb="002E5090"/>
      <sz val="10"/>
    </font>
    <font>
      <name val="Arial"/>
      <i val="1"/>
      <color rgb="00595959"/>
      <sz val="9"/>
    </font>
  </fonts>
  <fills count="1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5090"/>
      </patternFill>
    </fill>
    <fill>
      <patternFill patternType="solid">
        <fgColor rgb="002E75B6"/>
      </patternFill>
    </fill>
    <fill>
      <patternFill patternType="solid">
        <fgColor rgb="00F2F2F2"/>
      </patternFill>
    </fill>
    <fill>
      <patternFill patternType="solid">
        <fgColor rgb="00C00000"/>
      </patternFill>
    </fill>
    <fill>
      <patternFill patternType="solid">
        <fgColor rgb="00375623"/>
      </patternFill>
    </fill>
    <fill>
      <patternFill patternType="solid">
        <fgColor rgb="00EBF3FB"/>
      </patternFill>
    </fill>
    <fill>
      <patternFill patternType="solid">
        <fgColor rgb="00FFFFFF"/>
      </patternFill>
    </fill>
    <fill>
      <patternFill patternType="solid">
        <fgColor rgb="00FFE7E6"/>
      </patternFill>
    </fill>
    <fill>
      <patternFill patternType="solid">
        <fgColor rgb="00FFFACD"/>
      </patternFill>
    </fill>
    <fill>
      <patternFill patternType="solid">
        <fgColor rgb="00E7F5E7"/>
      </patternFill>
    </fill>
    <fill>
      <patternFill patternType="solid">
        <fgColor rgb="00E7F0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3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0" applyAlignment="1" pivotButton="0" quotePrefix="0" xfId="0">
      <alignment horizontal="center" vertical="center"/>
    </xf>
    <xf numFmtId="0" fontId="3" fillId="6" borderId="0" applyAlignment="1" pivotButton="0" quotePrefix="0" xfId="0">
      <alignment horizontal="center" vertical="center"/>
    </xf>
    <xf numFmtId="0" fontId="3" fillId="7" borderId="0" applyAlignment="1" pivotButton="0" quotePrefix="0" xfId="0">
      <alignment horizontal="center" vertical="center"/>
    </xf>
    <xf numFmtId="0" fontId="4" fillId="5" borderId="0" applyAlignment="1" pivotButton="0" quotePrefix="0" xfId="0">
      <alignment horizontal="center" vertical="center"/>
    </xf>
    <xf numFmtId="0" fontId="5" fillId="5" borderId="0" applyAlignment="1" pivotButton="0" quotePrefix="0" xfId="0">
      <alignment horizontal="center" vertical="center"/>
    </xf>
    <xf numFmtId="0" fontId="6" fillId="5" borderId="0" applyAlignment="1" pivotButton="0" quotePrefix="0" xfId="0">
      <alignment horizontal="center" vertical="center"/>
    </xf>
    <xf numFmtId="0" fontId="7" fillId="2" borderId="0" applyAlignment="1" pivotButton="0" quotePrefix="0" xfId="0">
      <alignment horizontal="center" vertical="center" wrapText="1"/>
    </xf>
    <xf numFmtId="0" fontId="7" fillId="6" borderId="0" applyAlignment="1" pivotButton="0" quotePrefix="0" xfId="0">
      <alignment horizontal="center" vertical="center" wrapText="1"/>
    </xf>
    <xf numFmtId="0" fontId="8" fillId="8" borderId="1" applyAlignment="1" pivotButton="0" quotePrefix="0" xfId="0">
      <alignment horizontal="left" vertical="center" indent="1"/>
    </xf>
    <xf numFmtId="164" fontId="8" fillId="8" borderId="1" applyAlignment="1" pivotButton="0" quotePrefix="0" xfId="0">
      <alignment horizontal="right" vertical="center"/>
    </xf>
    <xf numFmtId="0" fontId="9" fillId="8" borderId="1" applyAlignment="1" pivotButton="0" quotePrefix="0" xfId="0">
      <alignment horizontal="center" vertical="center"/>
    </xf>
    <xf numFmtId="0" fontId="8" fillId="9" borderId="1" applyAlignment="1" pivotButton="0" quotePrefix="0" xfId="0">
      <alignment horizontal="left" vertical="center" indent="1"/>
    </xf>
    <xf numFmtId="164" fontId="8" fillId="9" borderId="1" applyAlignment="1" pivotButton="0" quotePrefix="0" xfId="0">
      <alignment horizontal="right" vertical="center"/>
    </xf>
    <xf numFmtId="165" fontId="10" fillId="9" borderId="1" applyAlignment="1" pivotButton="0" quotePrefix="0" xfId="0">
      <alignment horizontal="center" vertical="center"/>
    </xf>
    <xf numFmtId="165" fontId="10" fillId="8" borderId="1" applyAlignment="1" pivotButton="0" quotePrefix="0" xfId="0">
      <alignment horizontal="center" vertical="center"/>
    </xf>
    <xf numFmtId="165" fontId="11" fillId="8" borderId="1" applyAlignment="1" pivotButton="0" quotePrefix="0" xfId="0">
      <alignment horizontal="center" vertical="center"/>
    </xf>
    <xf numFmtId="165" fontId="11" fillId="9" borderId="1" applyAlignment="1" pivotButton="0" quotePrefix="0" xfId="0">
      <alignment horizontal="center" vertical="center"/>
    </xf>
    <xf numFmtId="165" fontId="12" fillId="8" borderId="1" applyAlignment="1" pivotButton="0" quotePrefix="0" xfId="0">
      <alignment horizontal="center" vertical="center"/>
    </xf>
    <xf numFmtId="0" fontId="7" fillId="2" borderId="1" applyAlignment="1" pivotButton="0" quotePrefix="0" xfId="0">
      <alignment horizontal="left" vertical="center" indent="1"/>
    </xf>
    <xf numFmtId="164" fontId="7" fillId="2" borderId="1" applyAlignment="1" pivotButton="0" quotePrefix="0" xfId="0">
      <alignment horizontal="right" vertical="center"/>
    </xf>
    <xf numFmtId="165" fontId="7" fillId="6" borderId="1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/>
    </xf>
    <xf numFmtId="0" fontId="7" fillId="3" borderId="1" applyAlignment="1" pivotButton="0" quotePrefix="0" xfId="0">
      <alignment horizontal="center" vertical="center" wrapText="1"/>
    </xf>
    <xf numFmtId="0" fontId="11" fillId="10" borderId="1" applyAlignment="1" pivotButton="0" quotePrefix="0" xfId="0">
      <alignment horizontal="center" vertical="center" wrapText="1"/>
    </xf>
    <xf numFmtId="0" fontId="13" fillId="10" borderId="1" applyAlignment="1" pivotButton="0" quotePrefix="0" xfId="0">
      <alignment horizontal="left" vertical="center" wrapText="1"/>
    </xf>
    <xf numFmtId="0" fontId="14" fillId="11" borderId="1" applyAlignment="1" pivotButton="0" quotePrefix="0" xfId="0">
      <alignment horizontal="center" vertical="center" wrapText="1"/>
    </xf>
    <xf numFmtId="0" fontId="13" fillId="11" borderId="1" applyAlignment="1" pivotButton="0" quotePrefix="0" xfId="0">
      <alignment horizontal="left" vertical="center" wrapText="1"/>
    </xf>
    <xf numFmtId="0" fontId="12" fillId="12" borderId="1" applyAlignment="1" pivotButton="0" quotePrefix="0" xfId="0">
      <alignment horizontal="center" vertical="center" wrapText="1"/>
    </xf>
    <xf numFmtId="0" fontId="13" fillId="12" borderId="1" applyAlignment="1" pivotButton="0" quotePrefix="0" xfId="0">
      <alignment horizontal="left" vertical="center" wrapText="1"/>
    </xf>
    <xf numFmtId="0" fontId="15" fillId="13" borderId="1" applyAlignment="1" pivotButton="0" quotePrefix="0" xfId="0">
      <alignment horizontal="center" vertical="center" wrapText="1"/>
    </xf>
    <xf numFmtId="0" fontId="13" fillId="13" borderId="1" applyAlignment="1" pivotButton="0" quotePrefix="0" xfId="0">
      <alignment horizontal="left" vertical="center" wrapText="1"/>
    </xf>
    <xf numFmtId="0" fontId="16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Evolución del Gasto Total Mensual (USD)</a:t>
            </a:r>
          </a:p>
        </rich>
      </tx>
    </title>
    <plotArea>
      <lineChart>
        <grouping val="standard"/>
        <ser>
          <idx val="0"/>
          <order val="0"/>
          <tx>
            <v>Gasto Total USD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'Gráficas'!$B$50:$F$50</f>
            </numRef>
          </cat>
          <val>
            <numRef>
              <f>'Gráficas'!$B$51</f>
            </numRef>
          </val>
        </ser>
        <ser>
          <idx val="1"/>
          <order val="1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'Gráficas'!$B$50:$F$50</f>
            </numRef>
          </cat>
          <val>
            <numRef>
              <f>'Gráficas'!$C$51</f>
            </numRef>
          </val>
        </ser>
        <ser>
          <idx val="2"/>
          <order val="2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'Gráficas'!$B$50:$F$50</f>
            </numRef>
          </cat>
          <val>
            <numRef>
              <f>'Gráficas'!$D$51</f>
            </numRef>
          </val>
        </ser>
        <ser>
          <idx val="3"/>
          <order val="3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'Gráficas'!$B$50:$F$50</f>
            </numRef>
          </cat>
          <val>
            <numRef>
              <f>'Gráficas'!$E$51</f>
            </numRef>
          </val>
        </ser>
        <ser>
          <idx val="4"/>
          <order val="4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'Gráficas'!$B$50:$F$50</f>
            </numRef>
          </cat>
          <val>
            <numRef>
              <f>'Gráficas'!$F$51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Mes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USD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Top 8 Servicios: Nov 2025 vs Mar 2026 (USD)</a:t>
            </a:r>
          </a:p>
        </rich>
      </tx>
    </title>
    <plotArea>
      <barChart>
        <barDir val="col"/>
        <grouping val="clustered"/>
        <ser>
          <idx val="0"/>
          <order val="0"/>
          <tx>
            <v>Nov 2025</v>
          </tx>
          <spPr>
            <a:ln xmlns:a="http://schemas.openxmlformats.org/drawingml/2006/main">
              <a:prstDash val="solid"/>
            </a:ln>
          </spPr>
          <cat>
            <numRef>
              <f>'Gráficas'!$A$52:$A$59</f>
            </numRef>
          </cat>
          <val>
            <numRef>
              <f>'Gráficas'!$B$52:$B$59</f>
            </numRef>
          </val>
        </ser>
        <ser>
          <idx val="1"/>
          <order val="1"/>
          <tx>
            <v>Mar 2026</v>
          </tx>
          <spPr>
            <a:ln xmlns:a="http://schemas.openxmlformats.org/drawingml/2006/main">
              <a:prstDash val="solid"/>
            </a:ln>
          </spPr>
          <cat>
            <numRef>
              <f>'Gráficas'!$A$52:$A$59</f>
            </numRef>
          </cat>
          <val>
            <numRef>
              <f>'Gráficas'!$F$52:$F$59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USD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drawing1.xml><?xml version="1.0" encoding="utf-8"?>
<wsDr xmlns="http://schemas.openxmlformats.org/drawingml/2006/spreadsheetDrawing">
  <oneCellAnchor>
    <from>
      <col>0</col>
      <colOff>0</colOff>
      <row>2</row>
      <rowOff>0</rowOff>
    </from>
    <ext cx="7200000" cy="46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11</col>
      <colOff>0</colOff>
      <row>2</row>
      <rowOff>0</rowOff>
    </from>
    <ext cx="7200000" cy="468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7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</cols>
  <sheetData>
    <row r="1" ht="35" customHeight="1">
      <c r="A1" s="1" t="inlineStr">
        <is>
          <t>REPORTE DE CONSUMO AZURE — ANÁLISIS DE INCREMENTO</t>
        </is>
      </c>
    </row>
    <row r="2" ht="18" customHeight="1">
      <c r="A2" s="2" t="inlineStr">
        <is>
          <t>Período analizado: Noviembre 2025 – Marzo 2026  |  Moneda: USD  |  Nota: Abril 2026 excluido (mes parcial)</t>
        </is>
      </c>
    </row>
    <row r="3" ht="8" customHeight="1"/>
    <row r="4" ht="18" customHeight="1">
      <c r="B4" s="3" t="inlineStr">
        <is>
          <t>Total Nov 2025</t>
        </is>
      </c>
      <c r="C4" s="3" t="inlineStr">
        <is>
          <t>Total Mar 2026</t>
        </is>
      </c>
      <c r="D4" s="4" t="inlineStr">
        <is>
          <t>Incremento $</t>
        </is>
      </c>
      <c r="E4" s="4" t="inlineStr">
        <is>
          <t>Incremento %</t>
        </is>
      </c>
      <c r="F4" s="5" t="inlineStr">
        <is>
          <t>Mayor Servicio</t>
        </is>
      </c>
      <c r="G4" s="5" t="inlineStr">
        <is>
          <t>2do Mayor Gasto</t>
        </is>
      </c>
    </row>
    <row r="5" ht="18" customHeight="1"/>
    <row r="6" ht="28" customHeight="1">
      <c r="B6" s="6" t="inlineStr">
        <is>
          <t>$7,057</t>
        </is>
      </c>
      <c r="C6" s="6" t="inlineStr">
        <is>
          <t>$10,580</t>
        </is>
      </c>
      <c r="D6" s="7" t="inlineStr">
        <is>
          <t>$3,523</t>
        </is>
      </c>
      <c r="E6" s="7" t="inlineStr">
        <is>
          <t>49.9%</t>
        </is>
      </c>
      <c r="F6" s="8" t="inlineStr">
        <is>
          <t>Azure DDOS Prot.</t>
        </is>
      </c>
      <c r="G6" s="8" t="inlineStr">
        <is>
          <t>Storage</t>
        </is>
      </c>
    </row>
    <row r="7" ht="28" customHeight="1"/>
    <row r="8" ht="8" customHeight="1"/>
    <row r="9" ht="22" customHeight="1">
      <c r="A9" s="9" t="inlineStr">
        <is>
          <t>Servicio</t>
        </is>
      </c>
      <c r="B9" s="9" t="inlineStr">
        <is>
          <t>Nov 2025</t>
        </is>
      </c>
      <c r="C9" s="9" t="inlineStr">
        <is>
          <t>Dic 2025</t>
        </is>
      </c>
      <c r="D9" s="9" t="inlineStr">
        <is>
          <t>Ene 2026</t>
        </is>
      </c>
      <c r="E9" s="9" t="inlineStr">
        <is>
          <t>Feb 2026</t>
        </is>
      </c>
      <c r="F9" s="9" t="inlineStr">
        <is>
          <t>Mar 2026</t>
        </is>
      </c>
      <c r="G9" s="10" t="inlineStr">
        <is>
          <t>% Cambio
Nov→Mar</t>
        </is>
      </c>
    </row>
    <row r="10" ht="18" customHeight="1">
      <c r="A10" s="11" t="inlineStr">
        <is>
          <t>Azure DDOS Protection</t>
        </is>
      </c>
      <c r="B10" s="12" t="n">
        <v>0</v>
      </c>
      <c r="C10" s="12" t="n">
        <v>0</v>
      </c>
      <c r="D10" s="12" t="n">
        <v>0</v>
      </c>
      <c r="E10" s="12" t="n">
        <v>1087.81584281</v>
      </c>
      <c r="F10" s="12" t="n">
        <v>2999.999952</v>
      </c>
      <c r="G10" s="13" t="inlineStr">
        <is>
          <t>N/A</t>
        </is>
      </c>
    </row>
    <row r="11" ht="18" customHeight="1">
      <c r="A11" s="14" t="inlineStr">
        <is>
          <t>Storage</t>
        </is>
      </c>
      <c r="B11" s="15" t="n">
        <v>2376.172029375</v>
      </c>
      <c r="C11" s="15" t="n">
        <v>2470.8722455994</v>
      </c>
      <c r="D11" s="15" t="n">
        <v>2537.0048278456</v>
      </c>
      <c r="E11" s="15" t="n">
        <v>2529.1433595624</v>
      </c>
      <c r="F11" s="15" t="n">
        <v>2568.4482530925</v>
      </c>
      <c r="G11" s="16" t="n">
        <v>0.08091847784609865</v>
      </c>
    </row>
    <row r="12" ht="18" customHeight="1">
      <c r="A12" s="11" t="inlineStr">
        <is>
          <t>Azure App Service</t>
        </is>
      </c>
      <c r="B12" s="12" t="n">
        <v>1786.293915844</v>
      </c>
      <c r="C12" s="12" t="n">
        <v>1739.476</v>
      </c>
      <c r="D12" s="12" t="n">
        <v>1999.83</v>
      </c>
      <c r="E12" s="12" t="n">
        <v>3430.03904036</v>
      </c>
      <c r="F12" s="12" t="n">
        <v>1848.984603382</v>
      </c>
      <c r="G12" s="17" t="n">
        <v>0.03509539330675014</v>
      </c>
    </row>
    <row r="13" ht="18" customHeight="1">
      <c r="A13" s="14" t="inlineStr">
        <is>
          <t>Virtual Machines Licenses</t>
        </is>
      </c>
      <c r="B13" s="15" t="n">
        <v>1226.799561496</v>
      </c>
      <c r="C13" s="15" t="n">
        <v>1266.420763728</v>
      </c>
      <c r="D13" s="15" t="n">
        <v>1267.655483388</v>
      </c>
      <c r="E13" s="15" t="n">
        <v>1145.65984842</v>
      </c>
      <c r="F13" s="15" t="n">
        <v>1267.734589704</v>
      </c>
      <c r="G13" s="16" t="n">
        <v>0.03336733195281096</v>
      </c>
    </row>
    <row r="14" ht="18" customHeight="1">
      <c r="A14" s="11" t="inlineStr">
        <is>
          <t>Virtual Machines</t>
        </is>
      </c>
      <c r="B14" s="12" t="n">
        <v>704.71</v>
      </c>
      <c r="C14" s="12" t="n">
        <v>849.995032694</v>
      </c>
      <c r="D14" s="12" t="n">
        <v>857.517389464</v>
      </c>
      <c r="E14" s="12" t="n">
        <v>844.20816269</v>
      </c>
      <c r="F14" s="12" t="n">
        <v>857.967151156</v>
      </c>
      <c r="G14" s="18" t="n">
        <v>0.217475488010671</v>
      </c>
    </row>
    <row r="15" ht="18" customHeight="1">
      <c r="A15" s="14" t="inlineStr">
        <is>
          <t>Backup</t>
        </is>
      </c>
      <c r="B15" s="15" t="n">
        <v>385.1112832092012</v>
      </c>
      <c r="C15" s="15" t="n">
        <v>425.7885674187773</v>
      </c>
      <c r="D15" s="15" t="n">
        <v>432.9927618098685</v>
      </c>
      <c r="E15" s="15" t="n">
        <v>382.1759565160329</v>
      </c>
      <c r="F15" s="15" t="n">
        <v>422.7003032656453</v>
      </c>
      <c r="G15" s="16" t="n">
        <v>0.09760560569196539</v>
      </c>
    </row>
    <row r="16" ht="18" customHeight="1">
      <c r="A16" s="11" t="inlineStr">
        <is>
          <t>VPN Gateway</t>
        </is>
      </c>
      <c r="B16" s="12" t="n">
        <v>388.8</v>
      </c>
      <c r="C16" s="12" t="n">
        <v>401.76</v>
      </c>
      <c r="D16" s="12" t="n">
        <v>401.76</v>
      </c>
      <c r="E16" s="12" t="n">
        <v>362.88</v>
      </c>
      <c r="F16" s="12" t="n">
        <v>401.76</v>
      </c>
      <c r="G16" s="17" t="n">
        <v>0.03333333333333328</v>
      </c>
    </row>
    <row r="17" ht="18" customHeight="1">
      <c r="A17" s="14" t="inlineStr">
        <is>
          <t>Virtual Network</t>
        </is>
      </c>
      <c r="B17" s="15" t="n">
        <v>77.328</v>
      </c>
      <c r="C17" s="15" t="n">
        <v>83.40103333333333</v>
      </c>
      <c r="D17" s="15" t="n">
        <v>83.5204</v>
      </c>
      <c r="E17" s="15" t="n">
        <v>75.53279999999999</v>
      </c>
      <c r="F17" s="15" t="n">
        <v>83.62560000000001</v>
      </c>
      <c r="G17" s="16" t="n">
        <v>0.08144009931719433</v>
      </c>
    </row>
    <row r="18" ht="18" customHeight="1">
      <c r="A18" s="11" t="inlineStr">
        <is>
          <t>Azure Site Recovery</t>
        </is>
      </c>
      <c r="B18" s="12" t="n">
        <v>48.38709677418</v>
      </c>
      <c r="C18" s="12" t="n">
        <v>26.1424731182723</v>
      </c>
      <c r="D18" s="12" t="n">
        <v>22.849462365585</v>
      </c>
      <c r="E18" s="12" t="n">
        <v>45.161290322568</v>
      </c>
      <c r="F18" s="12" t="n">
        <v>49.999999999986</v>
      </c>
      <c r="G18" s="17" t="n">
        <v>0.03333333333333335</v>
      </c>
    </row>
    <row r="19" ht="18" customHeight="1">
      <c r="A19" s="14" t="inlineStr">
        <is>
          <t>Bandwidth</t>
        </is>
      </c>
      <c r="B19" s="15" t="n">
        <v>31.32694168522923</v>
      </c>
      <c r="C19" s="15" t="n">
        <v>50.08057768322158</v>
      </c>
      <c r="D19" s="15" t="n">
        <v>35.45164047785897</v>
      </c>
      <c r="E19" s="15" t="n">
        <v>31.40348091947881</v>
      </c>
      <c r="F19" s="15" t="n">
        <v>41.37028995131951</v>
      </c>
      <c r="G19" s="19" t="n">
        <v>0.3205977898195453</v>
      </c>
    </row>
    <row r="20" ht="18" customHeight="1">
      <c r="A20" s="11" t="inlineStr">
        <is>
          <t>Log Analytics</t>
        </is>
      </c>
      <c r="B20" s="12" t="n">
        <v>25.93396408846</v>
      </c>
      <c r="C20" s="12" t="n">
        <v>28.68839973112</v>
      </c>
      <c r="D20" s="12" t="n">
        <v>30.17945664286</v>
      </c>
      <c r="E20" s="12" t="n">
        <v>32.85698195302</v>
      </c>
      <c r="F20" s="12" t="n">
        <v>32.3822381195</v>
      </c>
      <c r="G20" s="18" t="n">
        <v>0.2486420513672776</v>
      </c>
    </row>
    <row r="21" ht="18" customHeight="1">
      <c r="A21" s="14" t="inlineStr">
        <is>
          <t>Traffic Manager</t>
        </is>
      </c>
      <c r="B21" s="15" t="n">
        <v>1.518181883225806</v>
      </c>
      <c r="C21" s="15" t="n">
        <v>1.683243456129031</v>
      </c>
      <c r="D21" s="15" t="n">
        <v>1.821089196129033</v>
      </c>
      <c r="E21" s="15" t="n">
        <v>1.692210621935483</v>
      </c>
      <c r="F21" s="15" t="n">
        <v>1.88808158</v>
      </c>
      <c r="G21" s="19" t="n">
        <v>0.2436464964186225</v>
      </c>
    </row>
    <row r="22" ht="18" customHeight="1">
      <c r="A22" s="11" t="inlineStr">
        <is>
          <t>Network Watcher</t>
        </is>
      </c>
      <c r="B22" s="12" t="n">
        <v>3.143724391423163</v>
      </c>
      <c r="C22" s="12" t="n">
        <v>2.302505226619546</v>
      </c>
      <c r="D22" s="12" t="n">
        <v>2.096009585354477</v>
      </c>
      <c r="E22" s="12" t="n">
        <v>1.178638188447804</v>
      </c>
      <c r="F22" s="12" t="n">
        <v>1.593952022027224</v>
      </c>
      <c r="G22" s="20" t="n">
        <v>-0.4929733578503546</v>
      </c>
    </row>
    <row r="23" ht="18" customHeight="1">
      <c r="A23" s="14" t="inlineStr">
        <is>
          <t>Azure Monitor</t>
        </is>
      </c>
      <c r="B23" s="15" t="n">
        <v>1.354944301075269</v>
      </c>
      <c r="C23" s="15" t="n">
        <v>1.398718279569893</v>
      </c>
      <c r="D23" s="15" t="n">
        <v>1.429732258064516</v>
      </c>
      <c r="E23" s="15" t="n">
        <v>1.35531870967742</v>
      </c>
      <c r="F23" s="15" t="n">
        <v>1.50038</v>
      </c>
      <c r="G23" s="19" t="n">
        <v>0.107337031352001</v>
      </c>
    </row>
    <row r="24" ht="18" customHeight="1">
      <c r="A24" s="11" t="inlineStr">
        <is>
          <t>Azure DNS</t>
        </is>
      </c>
      <c r="B24" s="12" t="n">
        <v>0.483870967741936</v>
      </c>
      <c r="C24" s="12" t="n">
        <v>0.5</v>
      </c>
      <c r="D24" s="12" t="n">
        <v>0.4999999999999996</v>
      </c>
      <c r="E24" s="12" t="n">
        <v>0.4516129032258061</v>
      </c>
      <c r="F24" s="12" t="n">
        <v>0.5</v>
      </c>
      <c r="G24" s="17" t="n">
        <v>0.03333333333333224</v>
      </c>
    </row>
    <row r="25" ht="18" customHeight="1">
      <c r="A25" s="14" t="inlineStr">
        <is>
          <t>Automation</t>
        </is>
      </c>
      <c r="B25" s="15" t="n">
        <v>0.0159666666666667</v>
      </c>
      <c r="C25" s="15" t="n">
        <v>0.02793333333333337</v>
      </c>
      <c r="D25" s="15" t="n">
        <v>0.0371333333333333</v>
      </c>
      <c r="E25" s="15" t="n">
        <v>0.2264666666666667</v>
      </c>
      <c r="F25" s="15" t="n">
        <v>0.03773333333333337</v>
      </c>
      <c r="G25" s="19" t="n">
        <v>1.363256784968682</v>
      </c>
    </row>
    <row r="26" ht="18" customHeight="1">
      <c r="A26" s="11" t="inlineStr">
        <is>
          <t>Service Bus</t>
        </is>
      </c>
      <c r="B26" s="12" t="n">
        <v>0</v>
      </c>
      <c r="C26" s="12" t="n">
        <v>4.96e-05</v>
      </c>
      <c r="D26" s="12" t="n">
        <v>0.0001</v>
      </c>
      <c r="E26" s="12" t="n">
        <v>9.2e-05</v>
      </c>
      <c r="F26" s="12" t="n">
        <v>0.0001024</v>
      </c>
      <c r="G26" s="13" t="inlineStr">
        <is>
          <t>N/A</t>
        </is>
      </c>
    </row>
    <row r="27" ht="22" customHeight="1">
      <c r="A27" s="21" t="inlineStr">
        <is>
          <t>TOTAL MENSUAL</t>
        </is>
      </c>
      <c r="B27" s="22" t="n">
        <v>7057.379480682203</v>
      </c>
      <c r="C27" s="22" t="n">
        <v>7348.537543201777</v>
      </c>
      <c r="D27" s="22" t="n">
        <v>7674.645486366654</v>
      </c>
      <c r="E27" s="22" t="n">
        <v>9971.781102643454</v>
      </c>
      <c r="F27" s="22" t="n">
        <v>10580.49323000631</v>
      </c>
      <c r="G27" s="23" t="n">
        <v>0.4992099063069719</v>
      </c>
    </row>
  </sheetData>
  <mergeCells count="14">
    <mergeCell ref="A1:G1"/>
    <mergeCell ref="B4:B5"/>
    <mergeCell ref="C4:C5"/>
    <mergeCell ref="F4:F5"/>
    <mergeCell ref="D4:D5"/>
    <mergeCell ref="E4:E5"/>
    <mergeCell ref="G4:G5"/>
    <mergeCell ref="G6:G7"/>
    <mergeCell ref="A2:G2"/>
    <mergeCell ref="E6:E7"/>
    <mergeCell ref="C6:C7"/>
    <mergeCell ref="D6:D7"/>
    <mergeCell ref="B6:B7"/>
    <mergeCell ref="F6:F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59"/>
  <sheetViews>
    <sheetView showGridLines="0" workbookViewId="0">
      <selection activeCell="A1" sqref="A1"/>
    </sheetView>
  </sheetViews>
  <sheetFormatPr baseColWidth="8" defaultRowHeight="15"/>
  <sheetData>
    <row r="1" ht="30" customHeight="1">
      <c r="A1" s="1" t="inlineStr">
        <is>
          <t>ANÁLISIS VISUAL DE CONSUMO AZURE</t>
        </is>
      </c>
    </row>
    <row r="50">
      <c r="A50" t="inlineStr">
        <is>
          <t>Mes</t>
        </is>
      </c>
      <c r="B50" t="inlineStr">
        <is>
          <t>Nov 2025</t>
        </is>
      </c>
      <c r="C50" t="inlineStr">
        <is>
          <t>Dic 2025</t>
        </is>
      </c>
      <c r="D50" t="inlineStr">
        <is>
          <t>Ene 2026</t>
        </is>
      </c>
      <c r="E50" t="inlineStr">
        <is>
          <t>Feb 2026</t>
        </is>
      </c>
      <c r="F50" t="inlineStr">
        <is>
          <t>Mar 2026</t>
        </is>
      </c>
    </row>
    <row r="51">
      <c r="A51" t="inlineStr">
        <is>
          <t>Total USD</t>
        </is>
      </c>
      <c r="B51" t="n">
        <v>7057.38</v>
      </c>
      <c r="C51" t="n">
        <v>7348.54</v>
      </c>
      <c r="D51" t="n">
        <v>7674.65</v>
      </c>
      <c r="E51" t="n">
        <v>9971.780000000001</v>
      </c>
      <c r="F51" t="n">
        <v>10580.49</v>
      </c>
    </row>
    <row r="52">
      <c r="A52" t="inlineStr">
        <is>
          <t>Storage</t>
        </is>
      </c>
      <c r="B52" t="n">
        <v>2376.17</v>
      </c>
      <c r="C52" t="n">
        <v>2470.87</v>
      </c>
      <c r="D52" t="n">
        <v>2537</v>
      </c>
      <c r="E52" t="n">
        <v>2529.14</v>
      </c>
      <c r="F52" t="n">
        <v>2568.45</v>
      </c>
    </row>
    <row r="53">
      <c r="A53" t="inlineStr">
        <is>
          <t>Azure App Service</t>
        </is>
      </c>
      <c r="B53" t="n">
        <v>1786.29</v>
      </c>
      <c r="C53" t="n">
        <v>1739.48</v>
      </c>
      <c r="D53" t="n">
        <v>1999.83</v>
      </c>
      <c r="E53" t="n">
        <v>3430.04</v>
      </c>
      <c r="F53" t="n">
        <v>1848.98</v>
      </c>
    </row>
    <row r="54">
      <c r="A54" t="inlineStr">
        <is>
          <t>Virtual Machines Licenses</t>
        </is>
      </c>
      <c r="B54" t="n">
        <v>1226.8</v>
      </c>
      <c r="C54" t="n">
        <v>1266.42</v>
      </c>
      <c r="D54" t="n">
        <v>1267.66</v>
      </c>
      <c r="E54" t="n">
        <v>1145.66</v>
      </c>
      <c r="F54" t="n">
        <v>1267.73</v>
      </c>
    </row>
    <row r="55">
      <c r="A55" t="inlineStr">
        <is>
          <t>Virtual Machines</t>
        </is>
      </c>
      <c r="B55" t="n">
        <v>704.71</v>
      </c>
      <c r="C55" t="n">
        <v>850</v>
      </c>
      <c r="D55" t="n">
        <v>857.52</v>
      </c>
      <c r="E55" t="n">
        <v>844.21</v>
      </c>
      <c r="F55" t="n">
        <v>857.97</v>
      </c>
    </row>
    <row r="56">
      <c r="A56" t="inlineStr">
        <is>
          <t>Azure DDOS Protection</t>
        </is>
      </c>
      <c r="B56" t="n">
        <v>0</v>
      </c>
      <c r="C56" t="n">
        <v>0</v>
      </c>
      <c r="D56" t="n">
        <v>0</v>
      </c>
      <c r="E56" t="n">
        <v>1087.82</v>
      </c>
      <c r="F56" t="n">
        <v>3000</v>
      </c>
    </row>
    <row r="57">
      <c r="A57" t="inlineStr">
        <is>
          <t>Backup</t>
        </is>
      </c>
      <c r="B57" t="n">
        <v>385.11</v>
      </c>
      <c r="C57" t="n">
        <v>425.79</v>
      </c>
      <c r="D57" t="n">
        <v>432.99</v>
      </c>
      <c r="E57" t="n">
        <v>382.18</v>
      </c>
      <c r="F57" t="n">
        <v>422.7</v>
      </c>
    </row>
    <row r="58">
      <c r="A58" t="inlineStr">
        <is>
          <t>VPN Gateway</t>
        </is>
      </c>
      <c r="B58" t="n">
        <v>388.8</v>
      </c>
      <c r="C58" t="n">
        <v>401.76</v>
      </c>
      <c r="D58" t="n">
        <v>401.76</v>
      </c>
      <c r="E58" t="n">
        <v>362.88</v>
      </c>
      <c r="F58" t="n">
        <v>401.76</v>
      </c>
    </row>
    <row r="59">
      <c r="A59" t="inlineStr">
        <is>
          <t>Virtual Network</t>
        </is>
      </c>
      <c r="B59" t="n">
        <v>77.33</v>
      </c>
      <c r="C59" t="n">
        <v>83.40000000000001</v>
      </c>
      <c r="D59" t="n">
        <v>83.52</v>
      </c>
      <c r="E59" t="n">
        <v>75.53</v>
      </c>
      <c r="F59" t="n">
        <v>83.63</v>
      </c>
    </row>
  </sheetData>
  <mergeCells count="1">
    <mergeCell ref="A1:P1"/>
  </mergeCells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4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26" customWidth="1" min="2" max="2"/>
    <col width="62" customWidth="1" min="3" max="3"/>
    <col width="16" customWidth="1" min="4" max="4"/>
  </cols>
  <sheetData>
    <row r="1" ht="35" customHeight="1">
      <c r="A1" s="1" t="inlineStr">
        <is>
          <t>RECOMENDACIONES DE OPTIMIZACIÓN DE COSTOS AZURE</t>
        </is>
      </c>
    </row>
    <row r="2" ht="18" customHeight="1">
      <c r="A2" s="24" t="inlineStr">
        <is>
          <t>Basado en el análisis del período Nov 2025 – Mar 2026</t>
        </is>
      </c>
    </row>
    <row r="4" ht="22" customHeight="1">
      <c r="A4" s="25" t="inlineStr">
        <is>
          <t>Prioridad</t>
        </is>
      </c>
      <c r="B4" s="25" t="inlineStr">
        <is>
          <t>Servicio</t>
        </is>
      </c>
      <c r="C4" s="25" t="inlineStr">
        <is>
          <t>Recomendación</t>
        </is>
      </c>
      <c r="D4" s="25" t="inlineStr">
        <is>
          <t>Impacto</t>
        </is>
      </c>
    </row>
    <row r="5" ht="60" customHeight="1">
      <c r="A5" s="26" t="inlineStr">
        <is>
          <t>URGENTE</t>
        </is>
      </c>
      <c r="B5" s="26" t="inlineStr">
        <is>
          <t>Azure DDOS Protection</t>
        </is>
      </c>
      <c r="C5" s="27" t="inlineStr">
        <is>
          <t>Cargo de $2,999 USD en Mar 2026 sin historial previo (también $1,087 en Feb). Verificar si fue habilitado intencionalmente. Si no se requiere, deshabilitar inmediatamente desde el portal de Azure.</t>
        </is>
      </c>
      <c r="D5" s="26" t="inlineStr">
        <is>
          <t>Alto impacto</t>
        </is>
      </c>
    </row>
    <row r="6" ht="60" customHeight="1">
      <c r="A6" s="26" t="inlineStr">
        <is>
          <t>URGENTE</t>
        </is>
      </c>
      <c r="B6" s="26" t="inlineStr">
        <is>
          <t>Azure App Service</t>
        </is>
      </c>
      <c r="C6" s="27" t="inlineStr">
        <is>
          <t>Pico de $3,430 USD en Feb 2026 (+97% vs mes anterior). Revisar escalado automático e instancias sobredimensionadas. Considerar Reserved Instances para ahorro hasta 55%. Verificar si el plan actual (P2 v3) es necesario.</t>
        </is>
      </c>
      <c r="D6" s="26" t="inlineStr">
        <is>
          <t>Alto impacto</t>
        </is>
      </c>
    </row>
    <row r="7" ht="60" customHeight="1">
      <c r="A7" s="28" t="inlineStr">
        <is>
          <t>IMPORTANTE</t>
        </is>
      </c>
      <c r="B7" s="28" t="inlineStr">
        <is>
          <t>Storage</t>
        </is>
      </c>
      <c r="C7" s="29" t="inlineStr">
        <is>
          <t>Mayor costo del período (~$2,500/mes, +8% acumulado). Activar Lifecycle Management para mover datos fríos a tier Archive o Cool. Revisar snapshots y blobs huérfanos. Ahorro potencial: 20-40%.</t>
        </is>
      </c>
      <c r="D7" s="28" t="inlineStr">
        <is>
          <t>Medio impacto</t>
        </is>
      </c>
    </row>
    <row r="8" ht="60" customHeight="1">
      <c r="A8" s="28" t="inlineStr">
        <is>
          <t>IMPORTANTE</t>
        </is>
      </c>
      <c r="B8" s="28" t="inlineStr">
        <is>
          <t>Virtual Machines</t>
        </is>
      </c>
      <c r="C8" s="29" t="inlineStr">
        <is>
          <t>+21.7% incremento acumulado. Evaluar Reserved Instances de 1 año para VMs de uso constante (ahorro hasta 40%). Programar apagado automático en horario no laboral con Azure Automation.</t>
        </is>
      </c>
      <c r="D8" s="28" t="inlineStr">
        <is>
          <t>Medio impacto</t>
        </is>
      </c>
    </row>
    <row r="9" ht="60" customHeight="1">
      <c r="A9" s="28" t="inlineStr">
        <is>
          <t>IMPORTANTE</t>
        </is>
      </c>
      <c r="B9" s="28" t="inlineStr">
        <is>
          <t>VM Licenses</t>
        </is>
      </c>
      <c r="C9" s="29" t="inlineStr">
        <is>
          <t>Crecimiento sostenido +3.3%. Revisar Azure Hybrid Benefit si tienen licencias On-Premise de Windows Server o SQL Server. Puede reducir hasta 49% el costo de licenciamiento.</t>
        </is>
      </c>
      <c r="D9" s="28" t="inlineStr">
        <is>
          <t>Medio impacto</t>
        </is>
      </c>
    </row>
    <row r="10" ht="60" customHeight="1">
      <c r="A10" s="30" t="inlineStr">
        <is>
          <t>OPTIMIZACIÓN</t>
        </is>
      </c>
      <c r="B10" s="30" t="inlineStr">
        <is>
          <t>Backup</t>
        </is>
      </c>
      <c r="C10" s="31" t="inlineStr">
        <is>
          <t>Costo estable ~$400/mes. Revisar políticas de retención, eliminar backups de recursos ya eliminados y reducir períodos en ambientes no productivos.</t>
        </is>
      </c>
      <c r="D10" s="30" t="inlineStr">
        <is>
          <t>Bajo impacto</t>
        </is>
      </c>
    </row>
    <row r="11" ht="60" customHeight="1">
      <c r="A11" s="30" t="inlineStr">
        <is>
          <t>OPTIMIZACIÓN</t>
        </is>
      </c>
      <c r="B11" s="30" t="inlineStr">
        <is>
          <t>VPN Gateway</t>
        </is>
      </c>
      <c r="C11" s="31" t="inlineStr">
        <is>
          <t>Costo fijo ~$390/mes. Evaluar consolidación en SKU de menor costo si el throughput lo permite.</t>
        </is>
      </c>
      <c r="D11" s="30" t="inlineStr">
        <is>
          <t>Bajo impacto</t>
        </is>
      </c>
    </row>
    <row r="12" ht="60" customHeight="1">
      <c r="A12" s="32" t="inlineStr">
        <is>
          <t>MONITOREO</t>
        </is>
      </c>
      <c r="B12" s="32" t="inlineStr">
        <is>
          <t>Log Analytics &amp; Monitor</t>
        </is>
      </c>
      <c r="C12" s="33" t="inlineStr">
        <is>
          <t>+24.9% en Log Analytics. Revisar ingesta de datos, configurar filtros de logs de baja prioridad. Activar alertas de presupuesto en Azure Cost Management para todos los servicios.</t>
        </is>
      </c>
      <c r="D12" s="32" t="inlineStr">
        <is>
          <t>Preventivo</t>
        </is>
      </c>
    </row>
    <row r="14" ht="25" customHeight="1">
      <c r="A14" s="34" t="inlineStr">
        <is>
          <t>NOTA: El mes de Abril 2026 contiene datos parciales y fue excluido del análisis comparativo. Se recomienda revisar al cierre del mes.</t>
        </is>
      </c>
    </row>
  </sheetData>
  <mergeCells count="3">
    <mergeCell ref="A1:D1"/>
    <mergeCell ref="A14:D14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2026-04-12T21:14:41Z</dcterms:created>
  <dcterms:modified xmlns:dcterms="http://purl.org/dc/terms/" xmlns:xsi="http://www.w3.org/2001/XMLSchema-instance" xsi:type="dcterms:W3CDTF">2026-04-12T21:14:41Z</dcterms:modified>
</cp:coreProperties>
</file>