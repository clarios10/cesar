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Supuestos" sheetId="2" state="visible" r:id="rId4"/>
    <sheet name="Almacenamiento" sheetId="3" state="visible" r:id="rId5"/>
    <sheet name="Computo" sheetId="4" state="visible" r:id="rId6"/>
    <sheet name="Red" sheetId="5" state="visible" r:id="rId7"/>
    <sheet name="Resume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<sst xmlns="http://schemas.openxmlformats.org/spreadsheetml/2006/main" count="246" uniqueCount="215">
  <si>
    <t xml:space="preserve">  Calculadora de Dimensionamiento – Sitio Web 3 Capas en Azure</t>
  </si>
  <si>
    <t xml:space="preserve">Proyecto:</t>
  </si>
  <si>
    <t xml:space="preserve">Sitio Web 3 capas (WAF + App React/API + Base de Datos) – Estimación de capacidad</t>
  </si>
  <si>
    <t xml:space="preserve">Alcance:</t>
  </si>
  <si>
    <t xml:space="preserve">Estimación de Almacenamiento (Storage), CPU, RAM y Red (Network) en Azure</t>
  </si>
  <si>
    <t xml:space="preserve">Fecha:</t>
  </si>
  <si>
    <t xml:space="preserve">Septiembre 2026</t>
  </si>
  <si>
    <t xml:space="preserve">  Cómo usar este archivo</t>
  </si>
  <si>
    <t xml:space="preserve">1. Vaya a la pestaña 'Supuestos' y edite ÚNICAMENTE las celdas resaltadas en AMARILLO (texto azul). Son los datos conocidos de su operación.</t>
  </si>
  <si>
    <t xml:space="preserve">2. Las demás pestañas (Almacenamiento, Computo, Red, Resumen) se recalculan automáticamente con fórmulas — no requieren edición.</t>
  </si>
  <si>
    <t xml:space="preserve">3. La pestaña 'Resumen' muestra los resultados clave por año (Año 0 = hoy, Año 1-3 = proyección) y una sugerencia de SKU de Azure de referencia.</t>
  </si>
  <si>
    <t xml:space="preserve">4. Todos los supuestos usados están documentados junto a cada celda (columna de notas) para que pueda ajustarlos según valide con el negocio.</t>
  </si>
  <si>
    <t xml:space="preserve">  Leyenda de colores</t>
  </si>
  <si>
    <t xml:space="preserve">Texto azul + relleno amarillo</t>
  </si>
  <si>
    <t xml:space="preserve">Dato de entrada editable (supuesto)</t>
  </si>
  <si>
    <t xml:space="preserve">Texto negro</t>
  </si>
  <si>
    <t xml:space="preserve">Fórmula calculada — no editar</t>
  </si>
  <si>
    <t xml:space="preserve">Texto verde</t>
  </si>
  <si>
    <t xml:space="preserve">Enlace/valor traído de otra pestaña</t>
  </si>
  <si>
    <t xml:space="preserve">Relleno verde claro</t>
  </si>
  <si>
    <t xml:space="preserve">Resultado final / recomendación</t>
  </si>
  <si>
    <t xml:space="preserve">  Importante</t>
  </si>
  <si>
    <t xml:space="preserve">Esta calculadora entrega un DIMENSIONAMIENTO ESTIMADO (orden de magnitud) basado en supuestos de uso declarados y en reglas generales de la industria (rules of thumb). No reemplaza un ejercicio de pruebas de carga (load testing), el uso de Azure Monitor/Application Insights con datos reales, ni el Azure Pricing Calculator / Well-Architected Framework para el dimensionamiento final de producción. En particular, el dimensionamiento de Azure WAF/Application Gateway (Capacity Units) depende de reglas OWASP habilitadas y del motor de autoescalado de Azure, por lo que aquí solo se entrega el ancho de banda y las conexiones estimadas como INSUMO para validar la capacidad en la documentación oficial de Azure.</t>
  </si>
  <si>
    <t xml:space="preserve">  Supuestos de Entrada (editar solo celdas amarillas)</t>
  </si>
  <si>
    <t xml:space="preserve">  1. Usuarios, clientes y crecimiento</t>
  </si>
  <si>
    <t xml:space="preserve">Usuarios concurrentes pico (hoy)</t>
  </si>
  <si>
    <t xml:space="preserve">usuarios</t>
  </si>
  <si>
    <t xml:space="preserve">Dato provisto por el negocio: 100 usuarios concurrentes durante el día.</t>
  </si>
  <si>
    <t xml:space="preserve">Usuarios totales registrados (todas las sucursales)</t>
  </si>
  <si>
    <t xml:space="preserve">Base de usuarios que rota durante el día para llegar a 100 concurrentes en pico. Ajustar según nómina real de sucursales.</t>
  </si>
  <si>
    <t xml:space="preserve">Clientes gestionados en el sistema</t>
  </si>
  <si>
    <t xml:space="preserve">clientes</t>
  </si>
  <si>
    <t xml:space="preserve">Volumen de clientes de uso promedio indicado por el negocio.</t>
  </si>
  <si>
    <t xml:space="preserve">Tasa de crecimiento anual (usuarios, datos y transacciones)</t>
  </si>
  <si>
    <t xml:space="preserve">%</t>
  </si>
  <si>
    <t xml:space="preserve">Supuesto de crecimiento del negocio/sucursales. Ajustar según plan de expansión real.</t>
  </si>
  <si>
    <t xml:space="preserve">Años de proyección</t>
  </si>
  <si>
    <t xml:space="preserve">años</t>
  </si>
  <si>
    <t xml:space="preserve">Horizonte de la proyección solicitado.</t>
  </si>
  <si>
    <t xml:space="preserve">Días hábiles por mes</t>
  </si>
  <si>
    <t xml:space="preserve">días</t>
  </si>
  <si>
    <t xml:space="preserve">Estándar de días laborables.</t>
  </si>
  <si>
    <t xml:space="preserve">Horas laborales por día (ventana de uso del sistema)</t>
  </si>
  <si>
    <t xml:space="preserve">horas</t>
  </si>
  <si>
    <t xml:space="preserve">Ventana en la que se concentra el uso concurrente (p.ej. 8:00-18:00).</t>
  </si>
  <si>
    <t xml:space="preserve">  2. Documentos e imágenes (por usuario)</t>
  </si>
  <si>
    <t xml:space="preserve">Documentos subidos por usuario por día</t>
  </si>
  <si>
    <t xml:space="preserve">docs/usuario/día</t>
  </si>
  <si>
    <t xml:space="preserve">Promedio estimado de documentos que sube cada usuario activo al día.</t>
  </si>
  <si>
    <t xml:space="preserve">Tamaño promedio de documento</t>
  </si>
  <si>
    <t xml:space="preserve">MB</t>
  </si>
  <si>
    <t xml:space="preserve">Promedio del rango informado por el negocio (3 a 10 MB).</t>
  </si>
  <si>
    <t xml:space="preserve">Imágenes subidas por usuario por día</t>
  </si>
  <si>
    <t xml:space="preserve">imgs/usuario/día</t>
  </si>
  <si>
    <t xml:space="preserve">Promedio estimado de imágenes que sube cada usuario activo al día.</t>
  </si>
  <si>
    <t xml:space="preserve">Tamaño promedio de imagen</t>
  </si>
  <si>
    <t xml:space="preserve">Promedio del rango informado por el negocio (1 a 5 MB).</t>
  </si>
  <si>
    <t xml:space="preserve">Años de retención de documentos e imágenes</t>
  </si>
  <si>
    <t xml:space="preserve">Definido por el negocio. Como es mayor al horizonte de proyección (3 años), nada se elimina dentro de la proyección.</t>
  </si>
  <si>
    <t xml:space="preserve">Overhead por metadatos / miniaturas (thumbnails)</t>
  </si>
  <si>
    <t xml:space="preserve">% adicional sobre el peso de archivos originales por copias/miniaturas generadas.</t>
  </si>
  <si>
    <t xml:space="preserve">  3. Base de datos (Azure SQL Database)</t>
  </si>
  <si>
    <t xml:space="preserve">Tamaño promedio registro de cliente</t>
  </si>
  <si>
    <t xml:space="preserve">KB</t>
  </si>
  <si>
    <t xml:space="preserve">Fila de cliente con sus atributos (razón social, contacto, etc.).</t>
  </si>
  <si>
    <t xml:space="preserve">Tamaño promedio registro de usuario</t>
  </si>
  <si>
    <t xml:space="preserve">Fila de usuario del sistema (perfil, permisos).</t>
  </si>
  <si>
    <t xml:space="preserve">Transacciones/solicitudes por usuario por día</t>
  </si>
  <si>
    <t xml:space="preserve">trans/usuario/día</t>
  </si>
  <si>
    <t xml:space="preserve">Operaciones de negocio (altas, consultas guardadas, actualizaciones) por usuario activo.</t>
  </si>
  <si>
    <t xml:space="preserve">Tamaño promedio por transacción (incl. bitácora/auditoría)</t>
  </si>
  <si>
    <t xml:space="preserve">Peso de fila transaccional + registro de auditoría asociado.</t>
  </si>
  <si>
    <t xml:space="preserve">Reportes generados por día (todos los usuarios)</t>
  </si>
  <si>
    <t xml:space="preserve">reportes/día</t>
  </si>
  <si>
    <t xml:space="preserve">Reportes con metadatos guardados en base de datos (el archivo final se asume en Blob Storage, no aquí).</t>
  </si>
  <si>
    <t xml:space="preserve">Tamaño promedio de metadata de reporte en BD</t>
  </si>
  <si>
    <t xml:space="preserve">Solo el registro/metadata en BD, no el binario del reporte.</t>
  </si>
  <si>
    <t xml:space="preserve">Overhead de índices y estructuras internas de BD</t>
  </si>
  <si>
    <t xml:space="preserve">% adicional típico por índices, log de transacciones y estructuras internas de SQL Server.</t>
  </si>
  <si>
    <t xml:space="preserve">  4. Cómputo — Capa de aplicación (React + API / App Service)</t>
  </si>
  <si>
    <t xml:space="preserve">Usuarios concurrentes atendidos por vCPU</t>
  </si>
  <si>
    <t xml:space="preserve">usuarios/vCPU</t>
  </si>
  <si>
    <t xml:space="preserve">Regla general para carga típica CRUD + API REST. Validar con pruebas de carga reales; workloads más pesados (ej. procesamiento de imágenes) requieren menos usuarios por vCPU.</t>
  </si>
  <si>
    <t xml:space="preserve">RAM base de runtime por instancia (SO + framework)</t>
  </si>
  <si>
    <t xml:space="preserve">GB</t>
  </si>
  <si>
    <t xml:space="preserve">Memoria base de Node.js/.NET + sistema operativo del App Service, antes de atender usuarios.</t>
  </si>
  <si>
    <t xml:space="preserve">RAM adicional por usuario concurrente (sesión/caché)</t>
  </si>
  <si>
    <t xml:space="preserve">GB/usuario</t>
  </si>
  <si>
    <t xml:space="preserve">Memoria estimada por sesión activa/caché de aplicación.</t>
  </si>
  <si>
    <t xml:space="preserve">Margen de seguridad (headroom) para picos - App</t>
  </si>
  <si>
    <t xml:space="preserve">Colchón adicional recomendado para absorber picos no planificados.</t>
  </si>
  <si>
    <t xml:space="preserve">Instancias mínimas por alta disponibilidad</t>
  </si>
  <si>
    <t xml:space="preserve">instancias</t>
  </si>
  <si>
    <t xml:space="preserve">Mínimo recomendado para tener redundancia (zona/instancia) en producción.</t>
  </si>
  <si>
    <t xml:space="preserve">  5. Cómputo — Capa de base de datos (Azure SQL vCore)</t>
  </si>
  <si>
    <t xml:space="preserve">Transacciones (lectura+escritura) que soporta 1 vCore</t>
  </si>
  <si>
    <t xml:space="preserve">trans/seg/vCore</t>
  </si>
  <si>
    <t xml:space="preserve">Regla general para OLTP ligero-moderado en Azure SQL General Purpose. Ajustar según complejidad real de consultas.</t>
  </si>
  <si>
    <t xml:space="preserve">RAM aproximada por vCore (tier General Purpose, Gen5)</t>
  </si>
  <si>
    <t xml:space="preserve">GB/vCore</t>
  </si>
  <si>
    <t xml:space="preserve">Referencia pública de Microsoft para Azure SQL Database General Purpose (aprox. 5.1 GB de memoria por vCore).</t>
  </si>
  <si>
    <t xml:space="preserve">Margen de seguridad (headroom) para picos - BD</t>
  </si>
  <si>
    <t xml:space="preserve">Factor de concentración de carga en hora pico</t>
  </si>
  <si>
    <t xml:space="preserve">x</t>
  </si>
  <si>
    <t xml:space="preserve">Las transacciones no se distribuyen uniformemente en el día; este factor castiga el promedio para estimar el pico horario/por segundo.</t>
  </si>
  <si>
    <t xml:space="preserve">  6. Red y WAF (Application Gateway / Front Door)</t>
  </si>
  <si>
    <t xml:space="preserve">% de usuarios concurrentes subiendo archivos a la vez (pico)</t>
  </si>
  <si>
    <t xml:space="preserve">Fracción de los usuarios concurrentes que coinciden subiendo un documento/imagen al mismo tiempo.</t>
  </si>
  <si>
    <t xml:space="preserve">Tiempo objetivo de carga de un archivo</t>
  </si>
  <si>
    <t xml:space="preserve">segundos</t>
  </si>
  <si>
    <t xml:space="preserve">Tiempo máximo aceptable para que un usuario termine de subir su archivo.</t>
  </si>
  <si>
    <t xml:space="preserve">Tamaño promedio de solicitud/respuesta API (JSON)</t>
  </si>
  <si>
    <t xml:space="preserve">Peso típico de una llamada API (request+response) de listados, formularios, etc.</t>
  </si>
  <si>
    <t xml:space="preserve">Solicitudes API por usuario por minuto</t>
  </si>
  <si>
    <t xml:space="preserve">solic./usuario/min</t>
  </si>
  <si>
    <t xml:space="preserve">Interacciones promedio (clics que disparan llamadas al API) por usuario activo.</t>
  </si>
  <si>
    <t xml:space="preserve">Overhead de protocolo (TLS/HTTP headers)</t>
  </si>
  <si>
    <t xml:space="preserve">% adicional sobre el payload por encabezados HTTP y cifrado TLS.</t>
  </si>
  <si>
    <t xml:space="preserve">  Almacenamiento (Storage) — Blob (documentos/imágenes) + Azure SQL (datos)</t>
  </si>
  <si>
    <t xml:space="preserve">Concepto</t>
  </si>
  <si>
    <t xml:space="preserve">Año 0 (hoy)</t>
  </si>
  <si>
    <t xml:space="preserve">Año 1</t>
  </si>
  <si>
    <t xml:space="preserve">Año 2</t>
  </si>
  <si>
    <t xml:space="preserve">Año 3</t>
  </si>
  <si>
    <t xml:space="preserve">Nota / fórmula</t>
  </si>
  <si>
    <t xml:space="preserve">  A. Almacenamiento de archivos (Azure Blob Storage) — documentos e imágenes</t>
  </si>
  <si>
    <t xml:space="preserve">Usuarios totales (proyectados)</t>
  </si>
  <si>
    <t xml:space="preserve">Usuarios totales x (1+crecimiento)^año</t>
  </si>
  <si>
    <t xml:space="preserve">MB generados por día (docs + imágenes, con overhead)</t>
  </si>
  <si>
    <t xml:space="preserve">(usuarios x docs/día x MB/doc + usuarios x imgs/día x MB/img) x (1+overhead metadatos)</t>
  </si>
  <si>
    <t xml:space="preserve">GB generados durante ese año</t>
  </si>
  <si>
    <t xml:space="preserve">MB/día x días hábiles/mes x 12 meses / 1024 (MB-&gt;GB)</t>
  </si>
  <si>
    <t xml:space="preserve">GB acumulados en Blob Storage (fin de año)</t>
  </si>
  <si>
    <t xml:space="preserve">Acumulado = año anterior + generado este año. No se resta nada porque la retención (5 años) es mayor al horizonte de 3 años proyectado.</t>
  </si>
  <si>
    <t xml:space="preserve">  B. Almacenamiento de base de datos (Azure SQL Database)</t>
  </si>
  <si>
    <t xml:space="preserve">Clientes gestionados (proyectados)</t>
  </si>
  <si>
    <t xml:space="preserve">Datos maestros: clientes + usuarios (KB)</t>
  </si>
  <si>
    <t xml:space="preserve">clientes x KB/cliente + usuarios x KB/usuario</t>
  </si>
  <si>
    <t xml:space="preserve">Transacciones + reportes generados por día (KB)</t>
  </si>
  <si>
    <t xml:space="preserve">usuarios x trans/día x KB/trans + reportes/día x KB/reporte</t>
  </si>
  <si>
    <t xml:space="preserve">GB transaccionales generados durante ese año</t>
  </si>
  <si>
    <t xml:space="preserve">KB/día x días hábiles/mes x 12 / 1024 / 1024 (KB-&gt;GB)</t>
  </si>
  <si>
    <t xml:space="preserve">GB transaccionales acumulados (fin de año)</t>
  </si>
  <si>
    <t xml:space="preserve">GB totales en Azure SQL (maestros + transaccional + overhead índices)</t>
  </si>
  <si>
    <t xml:space="preserve">(maestros en GB + transaccional acumulado) x (1+overhead de índices)</t>
  </si>
  <si>
    <t xml:space="preserve">  C. Total de almacenamiento requerido</t>
  </si>
  <si>
    <t xml:space="preserve">TOTAL Almacenamiento (Blob + Azure SQL) — GB</t>
  </si>
  <si>
    <t xml:space="preserve">Blob acumulado + Azure SQL total</t>
  </si>
  <si>
    <t xml:space="preserve">TOTAL Almacenamiento — TB</t>
  </si>
  <si>
    <t xml:space="preserve">  Cómputo — CPU y RAM (Capa Aplicación y Capa Base de Datos)</t>
  </si>
  <si>
    <t xml:space="preserve">  A. Capa de Aplicación (React + API, ej. Azure App Service)</t>
  </si>
  <si>
    <t xml:space="preserve">Usuarios concurrentes pico (proyectados)</t>
  </si>
  <si>
    <t xml:space="preserve">vCPU necesarios (App Tier)</t>
  </si>
  <si>
    <t xml:space="preserve">ROUNDUP( usuarios concurrentes / usuarios-por-vCPU x (1+margen) )</t>
  </si>
  <si>
    <t xml:space="preserve">vCPU totales considerando alta disponibilidad (mín. instancias)</t>
  </si>
  <si>
    <t xml:space="preserve">El mayor entre vCPU necesarios y el mínimo de instancias por HA (1 vCPU asumido por instancia mínima)</t>
  </si>
  <si>
    <t xml:space="preserve">RAM necesaria — App Tier (GB)</t>
  </si>
  <si>
    <t xml:space="preserve">(RAM base x instancias mínimas + RAM/usuario x usuarios concurrentes) x (1+margen)</t>
  </si>
  <si>
    <t xml:space="preserve">  B. Capa de Base de Datos (Azure SQL Database)</t>
  </si>
  <si>
    <t xml:space="preserve">Transacciones totales por día (proyectadas)</t>
  </si>
  <si>
    <t xml:space="preserve">Usuarios totales proyectados (hoja Almacenamiento) x transacciones/usuario/día</t>
  </si>
  <si>
    <t xml:space="preserve">Transacciones por segundo en hora pico</t>
  </si>
  <si>
    <t xml:space="preserve">(transacciones/día / (horas laborales x 3600 seg)) x factor de concentración en pico</t>
  </si>
  <si>
    <t xml:space="preserve">vCores necesarios (Azure SQL Database)</t>
  </si>
  <si>
    <t xml:space="preserve">ROUNDUP( trans/seg pico / trans-por-vCore x (1+margen) )</t>
  </si>
  <si>
    <t xml:space="preserve">vCores totales (mínimo 2 vCores recomendado por Azure)</t>
  </si>
  <si>
    <t xml:space="preserve">RAM aproximada — Base de Datos (GB)</t>
  </si>
  <si>
    <t xml:space="preserve">vCores x GB de RAM por vCore (referencia de la Sku General Purpose)</t>
  </si>
  <si>
    <t xml:space="preserve">  Red (Network) — Ancho de banda estimado y transferencia de datos</t>
  </si>
  <si>
    <t xml:space="preserve">  A. Ancho de banda pico (subida de archivos + API)</t>
  </si>
  <si>
    <t xml:space="preserve">Usuarios subiendo un archivo simultáneamente (pico)</t>
  </si>
  <si>
    <t xml:space="preserve">Tamaño promedio ponderado de archivo (MB)</t>
  </si>
  <si>
    <t xml:space="preserve">Promedio ponderado por cantidad diaria de documentos e imágenes (no cambia por año)</t>
  </si>
  <si>
    <t xml:space="preserve">Ancho de banda pico de subida (Mbps)</t>
  </si>
  <si>
    <t xml:space="preserve">(usuarios subiendo x tamaño MB x 8 bits / segundos objetivo) x (1+overhead protocolo). MB x 8 = Megabits</t>
  </si>
  <si>
    <t xml:space="preserve">Solicitudes API por segundo (pico)</t>
  </si>
  <si>
    <t xml:space="preserve">usuarios concurrentes x solicitudes/usuario/min / 60 seg</t>
  </si>
  <si>
    <t xml:space="preserve">Ancho de banda de tráfico API (Mbps)</t>
  </si>
  <si>
    <t xml:space="preserve">solicitudes/seg x KB x 8 bits / 1000 (KB-&gt;Mb aprox.) x (1+overhead)</t>
  </si>
  <si>
    <t xml:space="preserve">Ancho de banda pico TOTAL estimado (Mbps)</t>
  </si>
  <si>
    <t xml:space="preserve">Subida de archivos + tráfico API. Usar como insumo para dimensionar WAF/App Gateway/Front Door en el portal de Azure.</t>
  </si>
  <si>
    <t xml:space="preserve">  B. Transferencia de datos mensual (egress/ingress estimado)</t>
  </si>
  <si>
    <t xml:space="preserve">GB/mes por archivos subidos (docs + imágenes)</t>
  </si>
  <si>
    <t xml:space="preserve">MB generados por día (hoja Almacenamiento) x días hábiles/mes / 1024</t>
  </si>
  <si>
    <t xml:space="preserve">GB/mes por tráfico API (ida y vuelta)</t>
  </si>
  <si>
    <t xml:space="preserve">usuarios concurrentes x solic/min x 60 x horas laborales x KB/solic x días/mes / 1024^2</t>
  </si>
  <si>
    <t xml:space="preserve">TOTAL Transferencia de datos estimada (GB/mes)</t>
  </si>
  <si>
    <t xml:space="preserve">Nota sobre WAF / Application Gateway:</t>
  </si>
  <si>
    <t xml:space="preserve">El dimensionamiento de Azure WAF (Application Gateway v2 o Front Door Premium) se expresa en Capacity Units, que Azure autoescala según tráfico real, reglas OWASP activas e inspección TLS — no existe una fórmula pública simple y confiable para convertir Mbps en Capacity Units sin validarlo en el Azure Pricing Calculator o con pruebas reales. Use el 'Ancho de banda pico TOTAL' de esta hoja como el dato de entrada para esa validación, y contemple autoescalado habilitado desde el diseño.</t>
  </si>
  <si>
    <t xml:space="preserve">  Resumen Ejecutivo — Dimensionamiento estimado por año</t>
  </si>
  <si>
    <t xml:space="preserve">Métrica</t>
  </si>
  <si>
    <t xml:space="preserve">Referencia / SKU sugerido</t>
  </si>
  <si>
    <t xml:space="preserve">  Almacenamiento</t>
  </si>
  <si>
    <t xml:space="preserve">Total almacenamiento (GB)</t>
  </si>
  <si>
    <t xml:space="preserve">Azure Blob Storage (Hot tier) + Azure SQL Database</t>
  </si>
  <si>
    <t xml:space="preserve">Total almacenamiento (TB)</t>
  </si>
  <si>
    <t xml:space="preserve">  Cómputo — Capa de Aplicación</t>
  </si>
  <si>
    <t xml:space="preserve">vCPU App Tier</t>
  </si>
  <si>
    <t xml:space="preserve">RAM App Tier (GB)</t>
  </si>
  <si>
    <t xml:space="preserve">SKU App Service sugerido (referencia)</t>
  </si>
  <si>
    <t xml:space="preserve">Referencia orientativa de la familia Premium v3 de Azure App Service. Validar disponibilidad/región y precio en el portal.</t>
  </si>
  <si>
    <t xml:space="preserve">  Cómputo — Capa de Base de Datos</t>
  </si>
  <si>
    <t xml:space="preserve">vCores Azure SQL Database</t>
  </si>
  <si>
    <t xml:space="preserve">RAM aproximada Base de Datos (GB)</t>
  </si>
  <si>
    <t xml:space="preserve">SKU Azure SQL sugerido (referencia, General Purpose Gen5)</t>
  </si>
  <si>
    <t xml:space="preserve">Referencia orientativa General Purpose. Si se requiere alta resiliencia/IO, evaluar tier Business Critical.</t>
  </si>
  <si>
    <t xml:space="preserve">  Red / WAF</t>
  </si>
  <si>
    <t xml:space="preserve">Ancho de banda pico total (Mbps)</t>
  </si>
  <si>
    <t xml:space="preserve">Usar como insumo de entrada para dimensionar Application Gateway v2 (WAF) o Front Door Premium en Azure.</t>
  </si>
  <si>
    <t xml:space="preserve">Transferencia de datos estimada (GB/mes)</t>
  </si>
  <si>
    <t xml:space="preserve">  Notas finales</t>
  </si>
  <si>
    <t xml:space="preserve">• Todos los resultados son ÓRDENES DE MAGNITUD para presupuestar y conversar con Azure/el integrador; ajuste los supuestos en la pestaña 'Supuestos' según valide con el negocio.</t>
  </si>
  <si>
    <t xml:space="preserve">• Se recomienda validar el dimensionamiento final con el Azure Pricing Calculator, el Well-Architected Framework y, de ser posible, una prueba de carga (load test) antes de contratar los recursos.</t>
  </si>
  <si>
    <t xml:space="preserve">• El almacenamiento de archivos (documentos/imágenes) se calculó para Azure Blob Storage; si se requiere alta disponibilidad geográfica, considerar redundancia GRS/ZRS, lo que incrementa el costo (no el espacio útil visto por la app).</t>
  </si>
  <si>
    <t xml:space="preserve">• Los reportes en PDF/Excel generados por los usuarios NO se sumaron al Blob Storage en esta versión (solo su metadata en BD); si se van a almacenar los archivos de reporte, agréguelos como una fila adicional en la pestaña Almacenamiento.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</si>
</sst>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"/>
    <numFmt numFmtId="167" formatCode="#,##0.0"/>
    <numFmt numFmtId="168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70"/>
    <col collapsed="false" customWidth="true" hidden="false" outlineLevel="0" max="4" min="4" style="0" width="4"/>
  </cols>
  <sheetData>
    <row r="2" customFormat="false" ht="31.5" hidden="false" customHeight="true" outlineLevel="0" collapsed="false">
      <c r="B2" s="1" t="s">
        <v>0</v>
      </c>
      <c r="C2" s="1"/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  <row r="8" customFormat="false" ht="18" hidden="false" customHeight="true" outlineLevel="0" collapsed="false">
      <c r="B8" s="4" t="s">
        <v>7</v>
      </c>
      <c r="C8" s="4"/>
    </row>
    <row r="9" customFormat="false" ht="27.75" hidden="false" customHeight="true" outlineLevel="0" collapsed="false">
      <c r="B9" s="5" t="s">
        <v>8</v>
      </c>
      <c r="C9" s="5"/>
    </row>
    <row r="10" customFormat="false" ht="27.75" hidden="false" customHeight="true" outlineLevel="0" collapsed="false">
      <c r="B10" s="5" t="s">
        <v>9</v>
      </c>
      <c r="C10" s="5"/>
    </row>
    <row r="11" customFormat="false" ht="27.75" hidden="false" customHeight="true" outlineLevel="0" collapsed="false">
      <c r="B11" s="5" t="s">
        <v>10</v>
      </c>
      <c r="C11" s="5"/>
    </row>
    <row r="12" customFormat="false" ht="27.75" hidden="false" customHeight="true" outlineLevel="0" collapsed="false">
      <c r="B12" s="5" t="s">
        <v>11</v>
      </c>
      <c r="C12" s="5"/>
    </row>
    <row r="14" customFormat="false" ht="18" hidden="false" customHeight="true" outlineLevel="0" collapsed="false">
      <c r="B14" s="4" t="s">
        <v>12</v>
      </c>
      <c r="C14" s="4"/>
    </row>
    <row r="15" customFormat="false" ht="15" hidden="false" customHeight="false" outlineLevel="0" collapsed="false">
      <c r="B15" s="6" t="s">
        <v>13</v>
      </c>
      <c r="C15" s="3" t="s">
        <v>14</v>
      </c>
    </row>
    <row r="16" customFormat="false" ht="15" hidden="false" customHeight="false" outlineLevel="0" collapsed="false">
      <c r="B16" s="3" t="s">
        <v>15</v>
      </c>
      <c r="C16" s="3" t="s">
        <v>16</v>
      </c>
    </row>
    <row r="17" customFormat="false" ht="15" hidden="false" customHeight="false" outlineLevel="0" collapsed="false">
      <c r="B17" s="7" t="s">
        <v>17</v>
      </c>
      <c r="C17" s="3" t="s">
        <v>18</v>
      </c>
    </row>
    <row r="18" customFormat="false" ht="15" hidden="false" customHeight="false" outlineLevel="0" collapsed="false">
      <c r="B18" s="8" t="s">
        <v>19</v>
      </c>
      <c r="C18" s="3" t="s">
        <v>20</v>
      </c>
    </row>
    <row r="20" customFormat="false" ht="18" hidden="false" customHeight="true" outlineLevel="0" collapsed="false">
      <c r="B20" s="4" t="s">
        <v>21</v>
      </c>
      <c r="C20" s="4"/>
    </row>
    <row r="21" customFormat="false" ht="90" hidden="false" customHeight="true" outlineLevel="0" collapsed="false">
      <c r="B21" s="9" t="s">
        <v>22</v>
      </c>
      <c r="C21" s="9"/>
    </row>
    <row r="22" customFormat="false" ht="15" hidden="false" customHeight="false" outlineLevel="0" collapsed="false">
      <c r="B22" s="9"/>
      <c r="C22" s="9"/>
    </row>
  </sheetData>
  <mergeCells count="9">
    <mergeCell ref="B2:C2"/>
    <mergeCell ref="B8:C8"/>
    <mergeCell ref="B9:C9"/>
    <mergeCell ref="B10:C10"/>
    <mergeCell ref="B11:C11"/>
    <mergeCell ref="B12:C12"/>
    <mergeCell ref="B14:C14"/>
    <mergeCell ref="B20:C20"/>
    <mergeCell ref="B21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55"/>
  </cols>
  <sheetData>
    <row r="1" customFormat="false" ht="25.5" hidden="false" customHeight="true" outlineLevel="0" collapsed="false">
      <c r="A1" s="1" t="s">
        <v>23</v>
      </c>
      <c r="B1" s="1"/>
      <c r="C1" s="1"/>
      <c r="D1" s="1"/>
    </row>
    <row r="3" customFormat="false" ht="18" hidden="false" customHeight="true" outlineLevel="0" collapsed="false">
      <c r="A3" s="4" t="s">
        <v>24</v>
      </c>
      <c r="B3" s="4"/>
      <c r="C3" s="4"/>
      <c r="D3" s="4"/>
    </row>
    <row r="4" customFormat="false" ht="15" hidden="false" customHeight="false" outlineLevel="0" collapsed="false">
      <c r="A4" s="3" t="s">
        <v>25</v>
      </c>
      <c r="B4" s="10" t="n">
        <v>100</v>
      </c>
      <c r="C4" s="11" t="s">
        <v>26</v>
      </c>
      <c r="D4" s="12" t="s">
        <v>27</v>
      </c>
    </row>
    <row r="5" customFormat="false" ht="22.35" hidden="false" customHeight="false" outlineLevel="0" collapsed="false">
      <c r="A5" s="3" t="s">
        <v>28</v>
      </c>
      <c r="B5" s="10" t="n">
        <v>300</v>
      </c>
      <c r="C5" s="11" t="s">
        <v>26</v>
      </c>
      <c r="D5" s="12" t="s">
        <v>29</v>
      </c>
    </row>
    <row r="6" customFormat="false" ht="15" hidden="false" customHeight="false" outlineLevel="0" collapsed="false">
      <c r="A6" s="3" t="s">
        <v>30</v>
      </c>
      <c r="B6" s="10" t="n">
        <v>500</v>
      </c>
      <c r="C6" s="11" t="s">
        <v>31</v>
      </c>
      <c r="D6" s="12" t="s">
        <v>32</v>
      </c>
    </row>
    <row r="7" customFormat="false" ht="22.35" hidden="false" customHeight="false" outlineLevel="0" collapsed="false">
      <c r="A7" s="3" t="s">
        <v>33</v>
      </c>
      <c r="B7" s="13" t="n">
        <v>0.2</v>
      </c>
      <c r="C7" s="11" t="s">
        <v>34</v>
      </c>
      <c r="D7" s="12" t="s">
        <v>35</v>
      </c>
    </row>
    <row r="8" customFormat="false" ht="15" hidden="false" customHeight="false" outlineLevel="0" collapsed="false">
      <c r="A8" s="3" t="s">
        <v>36</v>
      </c>
      <c r="B8" s="10" t="n">
        <v>3</v>
      </c>
      <c r="C8" s="11" t="s">
        <v>37</v>
      </c>
      <c r="D8" s="12" t="s">
        <v>38</v>
      </c>
    </row>
    <row r="9" customFormat="false" ht="15" hidden="false" customHeight="false" outlineLevel="0" collapsed="false">
      <c r="A9" s="3" t="s">
        <v>39</v>
      </c>
      <c r="B9" s="10" t="n">
        <v>22</v>
      </c>
      <c r="C9" s="11" t="s">
        <v>40</v>
      </c>
      <c r="D9" s="12" t="s">
        <v>41</v>
      </c>
    </row>
    <row r="10" customFormat="false" ht="15" hidden="false" customHeight="false" outlineLevel="0" collapsed="false">
      <c r="A10" s="3" t="s">
        <v>42</v>
      </c>
      <c r="B10" s="10" t="n">
        <v>10</v>
      </c>
      <c r="C10" s="11" t="s">
        <v>43</v>
      </c>
      <c r="D10" s="12" t="s">
        <v>44</v>
      </c>
    </row>
    <row r="12" customFormat="false" ht="18" hidden="false" customHeight="true" outlineLevel="0" collapsed="false">
      <c r="A12" s="4" t="s">
        <v>45</v>
      </c>
      <c r="B12" s="4"/>
      <c r="C12" s="4"/>
      <c r="D12" s="4"/>
    </row>
    <row r="13" customFormat="false" ht="15" hidden="false" customHeight="false" outlineLevel="0" collapsed="false">
      <c r="A13" s="3" t="s">
        <v>46</v>
      </c>
      <c r="B13" s="10" t="n">
        <v>5</v>
      </c>
      <c r="C13" s="11" t="s">
        <v>47</v>
      </c>
      <c r="D13" s="12" t="s">
        <v>48</v>
      </c>
    </row>
    <row r="14" customFormat="false" ht="15" hidden="false" customHeight="false" outlineLevel="0" collapsed="false">
      <c r="A14" s="3" t="s">
        <v>49</v>
      </c>
      <c r="B14" s="10" t="n">
        <v>6.5</v>
      </c>
      <c r="C14" s="11" t="s">
        <v>50</v>
      </c>
      <c r="D14" s="12" t="s">
        <v>51</v>
      </c>
    </row>
    <row r="15" customFormat="false" ht="15" hidden="false" customHeight="false" outlineLevel="0" collapsed="false">
      <c r="A15" s="3" t="s">
        <v>52</v>
      </c>
      <c r="B15" s="10" t="n">
        <v>3</v>
      </c>
      <c r="C15" s="11" t="s">
        <v>53</v>
      </c>
      <c r="D15" s="12" t="s">
        <v>54</v>
      </c>
    </row>
    <row r="16" customFormat="false" ht="15" hidden="false" customHeight="false" outlineLevel="0" collapsed="false">
      <c r="A16" s="3" t="s">
        <v>55</v>
      </c>
      <c r="B16" s="10" t="n">
        <v>3</v>
      </c>
      <c r="C16" s="11" t="s">
        <v>50</v>
      </c>
      <c r="D16" s="12" t="s">
        <v>56</v>
      </c>
    </row>
    <row r="17" customFormat="false" ht="22.35" hidden="false" customHeight="false" outlineLevel="0" collapsed="false">
      <c r="A17" s="3" t="s">
        <v>57</v>
      </c>
      <c r="B17" s="10" t="n">
        <v>5</v>
      </c>
      <c r="C17" s="11" t="s">
        <v>37</v>
      </c>
      <c r="D17" s="12" t="s">
        <v>58</v>
      </c>
    </row>
    <row r="18" customFormat="false" ht="22.35" hidden="false" customHeight="false" outlineLevel="0" collapsed="false">
      <c r="A18" s="3" t="s">
        <v>59</v>
      </c>
      <c r="B18" s="13" t="n">
        <v>0.1</v>
      </c>
      <c r="C18" s="11" t="s">
        <v>34</v>
      </c>
      <c r="D18" s="12" t="s">
        <v>60</v>
      </c>
    </row>
    <row r="20" customFormat="false" ht="18" hidden="false" customHeight="true" outlineLevel="0" collapsed="false">
      <c r="A20" s="4" t="s">
        <v>61</v>
      </c>
      <c r="B20" s="4"/>
      <c r="C20" s="4"/>
      <c r="D20" s="4"/>
    </row>
    <row r="21" customFormat="false" ht="15" hidden="false" customHeight="false" outlineLevel="0" collapsed="false">
      <c r="A21" s="3" t="s">
        <v>62</v>
      </c>
      <c r="B21" s="10" t="n">
        <v>2</v>
      </c>
      <c r="C21" s="11" t="s">
        <v>63</v>
      </c>
      <c r="D21" s="12" t="s">
        <v>64</v>
      </c>
    </row>
    <row r="22" customFormat="false" ht="15" hidden="false" customHeight="false" outlineLevel="0" collapsed="false">
      <c r="A22" s="3" t="s">
        <v>65</v>
      </c>
      <c r="B22" s="10" t="n">
        <v>1</v>
      </c>
      <c r="C22" s="11" t="s">
        <v>63</v>
      </c>
      <c r="D22" s="12" t="s">
        <v>66</v>
      </c>
    </row>
    <row r="23" customFormat="false" ht="22.35" hidden="false" customHeight="false" outlineLevel="0" collapsed="false">
      <c r="A23" s="3" t="s">
        <v>67</v>
      </c>
      <c r="B23" s="10" t="n">
        <v>20</v>
      </c>
      <c r="C23" s="11" t="s">
        <v>68</v>
      </c>
      <c r="D23" s="12" t="s">
        <v>69</v>
      </c>
    </row>
    <row r="24" customFormat="false" ht="15" hidden="false" customHeight="false" outlineLevel="0" collapsed="false">
      <c r="A24" s="3" t="s">
        <v>70</v>
      </c>
      <c r="B24" s="10" t="n">
        <v>2.5</v>
      </c>
      <c r="C24" s="11" t="s">
        <v>63</v>
      </c>
      <c r="D24" s="12" t="s">
        <v>71</v>
      </c>
    </row>
    <row r="25" customFormat="false" ht="22.35" hidden="false" customHeight="false" outlineLevel="0" collapsed="false">
      <c r="A25" s="3" t="s">
        <v>72</v>
      </c>
      <c r="B25" s="10" t="n">
        <v>30</v>
      </c>
      <c r="C25" s="11" t="s">
        <v>73</v>
      </c>
      <c r="D25" s="12" t="s">
        <v>74</v>
      </c>
    </row>
    <row r="26" customFormat="false" ht="15" hidden="false" customHeight="false" outlineLevel="0" collapsed="false">
      <c r="A26" s="3" t="s">
        <v>75</v>
      </c>
      <c r="B26" s="10" t="n">
        <v>1</v>
      </c>
      <c r="C26" s="11" t="s">
        <v>63</v>
      </c>
      <c r="D26" s="12" t="s">
        <v>76</v>
      </c>
    </row>
    <row r="27" customFormat="false" ht="22.35" hidden="false" customHeight="false" outlineLevel="0" collapsed="false">
      <c r="A27" s="3" t="s">
        <v>77</v>
      </c>
      <c r="B27" s="13" t="n">
        <v>0.3</v>
      </c>
      <c r="C27" s="11" t="s">
        <v>34</v>
      </c>
      <c r="D27" s="12" t="s">
        <v>78</v>
      </c>
    </row>
    <row r="29" customFormat="false" ht="18" hidden="false" customHeight="true" outlineLevel="0" collapsed="false">
      <c r="A29" s="4" t="s">
        <v>79</v>
      </c>
      <c r="B29" s="4"/>
      <c r="C29" s="4"/>
      <c r="D29" s="4"/>
    </row>
    <row r="30" customFormat="false" ht="32.8" hidden="false" customHeight="false" outlineLevel="0" collapsed="false">
      <c r="A30" s="3" t="s">
        <v>80</v>
      </c>
      <c r="B30" s="10" t="n">
        <v>50</v>
      </c>
      <c r="C30" s="11" t="s">
        <v>81</v>
      </c>
      <c r="D30" s="12" t="s">
        <v>82</v>
      </c>
    </row>
    <row r="31" customFormat="false" ht="22.35" hidden="false" customHeight="false" outlineLevel="0" collapsed="false">
      <c r="A31" s="3" t="s">
        <v>83</v>
      </c>
      <c r="B31" s="10" t="n">
        <v>1.5</v>
      </c>
      <c r="C31" s="11" t="s">
        <v>84</v>
      </c>
      <c r="D31" s="12" t="s">
        <v>85</v>
      </c>
    </row>
    <row r="32" customFormat="false" ht="15" hidden="false" customHeight="false" outlineLevel="0" collapsed="false">
      <c r="A32" s="3" t="s">
        <v>86</v>
      </c>
      <c r="B32" s="10" t="n">
        <v>0.03</v>
      </c>
      <c r="C32" s="11" t="s">
        <v>87</v>
      </c>
      <c r="D32" s="12" t="s">
        <v>88</v>
      </c>
    </row>
    <row r="33" customFormat="false" ht="15" hidden="false" customHeight="false" outlineLevel="0" collapsed="false">
      <c r="A33" s="3" t="s">
        <v>89</v>
      </c>
      <c r="B33" s="13" t="n">
        <v>0.3</v>
      </c>
      <c r="C33" s="11" t="s">
        <v>34</v>
      </c>
      <c r="D33" s="12" t="s">
        <v>90</v>
      </c>
    </row>
    <row r="34" customFormat="false" ht="22.35" hidden="false" customHeight="false" outlineLevel="0" collapsed="false">
      <c r="A34" s="3" t="s">
        <v>91</v>
      </c>
      <c r="B34" s="10" t="n">
        <v>2</v>
      </c>
      <c r="C34" s="11" t="s">
        <v>92</v>
      </c>
      <c r="D34" s="12" t="s">
        <v>93</v>
      </c>
    </row>
    <row r="36" customFormat="false" ht="18" hidden="false" customHeight="true" outlineLevel="0" collapsed="false">
      <c r="A36" s="4" t="s">
        <v>94</v>
      </c>
      <c r="B36" s="4"/>
      <c r="C36" s="4"/>
      <c r="D36" s="4"/>
    </row>
    <row r="37" customFormat="false" ht="22.35" hidden="false" customHeight="false" outlineLevel="0" collapsed="false">
      <c r="A37" s="3" t="s">
        <v>95</v>
      </c>
      <c r="B37" s="10" t="n">
        <v>70</v>
      </c>
      <c r="C37" s="11" t="s">
        <v>96</v>
      </c>
      <c r="D37" s="12" t="s">
        <v>97</v>
      </c>
    </row>
    <row r="38" customFormat="false" ht="22.35" hidden="false" customHeight="false" outlineLevel="0" collapsed="false">
      <c r="A38" s="3" t="s">
        <v>98</v>
      </c>
      <c r="B38" s="10" t="n">
        <v>5.1</v>
      </c>
      <c r="C38" s="11" t="s">
        <v>99</v>
      </c>
      <c r="D38" s="12" t="s">
        <v>100</v>
      </c>
    </row>
    <row r="39" customFormat="false" ht="15" hidden="false" customHeight="false" outlineLevel="0" collapsed="false">
      <c r="A39" s="3" t="s">
        <v>101</v>
      </c>
      <c r="B39" s="13" t="n">
        <v>0.3</v>
      </c>
      <c r="C39" s="11" t="s">
        <v>34</v>
      </c>
      <c r="D39" s="12" t="s">
        <v>90</v>
      </c>
    </row>
    <row r="40" customFormat="false" ht="22.35" hidden="false" customHeight="false" outlineLevel="0" collapsed="false">
      <c r="A40" s="3" t="s">
        <v>102</v>
      </c>
      <c r="B40" s="10" t="n">
        <v>3</v>
      </c>
      <c r="C40" s="11" t="s">
        <v>103</v>
      </c>
      <c r="D40" s="12" t="s">
        <v>104</v>
      </c>
    </row>
    <row r="42" customFormat="false" ht="18" hidden="false" customHeight="true" outlineLevel="0" collapsed="false">
      <c r="A42" s="4" t="s">
        <v>105</v>
      </c>
      <c r="B42" s="4"/>
      <c r="C42" s="4"/>
      <c r="D42" s="4"/>
    </row>
    <row r="43" customFormat="false" ht="22.35" hidden="false" customHeight="false" outlineLevel="0" collapsed="false">
      <c r="A43" s="3" t="s">
        <v>106</v>
      </c>
      <c r="B43" s="13" t="n">
        <v>0.15</v>
      </c>
      <c r="C43" s="11" t="s">
        <v>34</v>
      </c>
      <c r="D43" s="12" t="s">
        <v>107</v>
      </c>
    </row>
    <row r="44" customFormat="false" ht="22.35" hidden="false" customHeight="false" outlineLevel="0" collapsed="false">
      <c r="A44" s="3" t="s">
        <v>108</v>
      </c>
      <c r="B44" s="10" t="n">
        <v>10</v>
      </c>
      <c r="C44" s="11" t="s">
        <v>109</v>
      </c>
      <c r="D44" s="12" t="s">
        <v>110</v>
      </c>
    </row>
    <row r="45" customFormat="false" ht="22.35" hidden="false" customHeight="false" outlineLevel="0" collapsed="false">
      <c r="A45" s="3" t="s">
        <v>111</v>
      </c>
      <c r="B45" s="10" t="n">
        <v>15</v>
      </c>
      <c r="C45" s="11" t="s">
        <v>63</v>
      </c>
      <c r="D45" s="12" t="s">
        <v>112</v>
      </c>
    </row>
    <row r="46" customFormat="false" ht="22.35" hidden="false" customHeight="false" outlineLevel="0" collapsed="false">
      <c r="A46" s="3" t="s">
        <v>113</v>
      </c>
      <c r="B46" s="10" t="n">
        <v>6</v>
      </c>
      <c r="C46" s="11" t="s">
        <v>114</v>
      </c>
      <c r="D46" s="12" t="s">
        <v>115</v>
      </c>
    </row>
    <row r="47" customFormat="false" ht="15" hidden="false" customHeight="false" outlineLevel="0" collapsed="false">
      <c r="A47" s="3" t="s">
        <v>116</v>
      </c>
      <c r="B47" s="13" t="n">
        <v>0.1</v>
      </c>
      <c r="C47" s="11" t="s">
        <v>34</v>
      </c>
      <c r="D47" s="12" t="s">
        <v>117</v>
      </c>
    </row>
  </sheetData>
  <mergeCells count="7">
    <mergeCell ref="A1:D1"/>
    <mergeCell ref="A3:D3"/>
    <mergeCell ref="A12:D12"/>
    <mergeCell ref="A20:D20"/>
    <mergeCell ref="A29:D29"/>
    <mergeCell ref="A36:D36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6"/>
    <col collapsed="false" customWidth="true" hidden="false" outlineLevel="0" max="6" min="6" style="0" width="55"/>
  </cols>
  <sheetData>
    <row r="1" customFormat="false" ht="25.5" hidden="false" customHeight="true" outlineLevel="0" collapsed="false">
      <c r="A1" s="1" t="s">
        <v>118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4" t="s">
        <v>119</v>
      </c>
      <c r="B3" s="14" t="s">
        <v>120</v>
      </c>
      <c r="C3" s="14" t="s">
        <v>121</v>
      </c>
      <c r="D3" s="14" t="s">
        <v>122</v>
      </c>
      <c r="E3" s="14" t="s">
        <v>123</v>
      </c>
      <c r="F3" s="14" t="s">
        <v>124</v>
      </c>
    </row>
    <row r="4" customFormat="false" ht="18" hidden="false" customHeight="true" outlineLevel="0" collapsed="false">
      <c r="A4" s="4" t="s">
        <v>125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3" t="s">
        <v>126</v>
      </c>
      <c r="B5" s="15" t="n">
        <f aca="false">Supuestos!$B$5*(1+Supuestos!$B$7)^0</f>
        <v>300</v>
      </c>
      <c r="C5" s="15" t="n">
        <f aca="false">Supuestos!$B$5*(1+Supuestos!$B$7)^1</f>
        <v>360</v>
      </c>
      <c r="D5" s="15" t="n">
        <f aca="false">Supuestos!$B$5*(1+Supuestos!$B$7)^2</f>
        <v>432</v>
      </c>
      <c r="E5" s="15" t="n">
        <f aca="false">Supuestos!$B$5*(1+Supuestos!$B$7)^3</f>
        <v>518.4</v>
      </c>
      <c r="F5" s="11" t="s">
        <v>127</v>
      </c>
    </row>
    <row r="6" customFormat="false" ht="15" hidden="false" customHeight="false" outlineLevel="0" collapsed="false">
      <c r="A6" s="3" t="s">
        <v>128</v>
      </c>
      <c r="B6" s="15" t="n">
        <f aca="false">(B5*Supuestos!$B$13*Supuestos!$B$14+B5*Supuestos!$B$15*Supuestos!$B$16)*(1+Supuestos!$B$18)</f>
        <v>13695</v>
      </c>
      <c r="C6" s="15" t="n">
        <f aca="false">(C5*Supuestos!$B$13*Supuestos!$B$14+C5*Supuestos!$B$15*Supuestos!$B$16)*(1+Supuestos!$B$18)</f>
        <v>16434</v>
      </c>
      <c r="D6" s="15" t="n">
        <f aca="false">(D5*Supuestos!$B$13*Supuestos!$B$14+D5*Supuestos!$B$15*Supuestos!$B$16)*(1+Supuestos!$B$18)</f>
        <v>19720.8</v>
      </c>
      <c r="E6" s="15" t="n">
        <f aca="false">(E5*Supuestos!$B$13*Supuestos!$B$14+E5*Supuestos!$B$15*Supuestos!$B$16)*(1+Supuestos!$B$18)</f>
        <v>23664.96</v>
      </c>
      <c r="F6" s="11" t="s">
        <v>129</v>
      </c>
    </row>
    <row r="7" customFormat="false" ht="15" hidden="false" customHeight="false" outlineLevel="0" collapsed="false">
      <c r="A7" s="3" t="s">
        <v>130</v>
      </c>
      <c r="B7" s="16" t="n">
        <f aca="false">B6*Supuestos!$B$9*12/1024</f>
        <v>3530.7421875</v>
      </c>
      <c r="C7" s="16" t="n">
        <f aca="false">C6*Supuestos!$B$9*12/1024</f>
        <v>4236.890625</v>
      </c>
      <c r="D7" s="16" t="n">
        <f aca="false">D6*Supuestos!$B$9*12/1024</f>
        <v>5084.26875</v>
      </c>
      <c r="E7" s="16" t="n">
        <f aca="false">E6*Supuestos!$B$9*12/1024</f>
        <v>6101.1225</v>
      </c>
      <c r="F7" s="11" t="s">
        <v>131</v>
      </c>
    </row>
    <row r="8" customFormat="false" ht="15" hidden="false" customHeight="false" outlineLevel="0" collapsed="false">
      <c r="A8" s="2" t="s">
        <v>132</v>
      </c>
      <c r="B8" s="17" t="n">
        <f aca="false">B7</f>
        <v>3530.7421875</v>
      </c>
      <c r="C8" s="17" t="n">
        <f aca="false">B8+C7</f>
        <v>7767.6328125</v>
      </c>
      <c r="D8" s="17" t="n">
        <f aca="false">C8+D7</f>
        <v>12851.9015625</v>
      </c>
      <c r="E8" s="17" t="n">
        <f aca="false">D8+E7</f>
        <v>18953.0240625</v>
      </c>
      <c r="F8" s="11" t="s">
        <v>133</v>
      </c>
    </row>
    <row r="10" customFormat="false" ht="18" hidden="false" customHeight="true" outlineLevel="0" collapsed="false">
      <c r="A10" s="4" t="s">
        <v>134</v>
      </c>
      <c r="B10" s="4"/>
      <c r="C10" s="4"/>
      <c r="D10" s="4"/>
      <c r="E10" s="4"/>
      <c r="F10" s="4"/>
    </row>
    <row r="11" customFormat="false" ht="15" hidden="false" customHeight="false" outlineLevel="0" collapsed="false">
      <c r="A11" s="3" t="s">
        <v>135</v>
      </c>
      <c r="B11" s="15" t="n">
        <f aca="false">Supuestos!$B$6*(1+Supuestos!$B$7)^0</f>
        <v>500</v>
      </c>
      <c r="C11" s="15" t="n">
        <f aca="false">Supuestos!$B$6*(1+Supuestos!$B$7)^1</f>
        <v>600</v>
      </c>
      <c r="D11" s="15" t="n">
        <f aca="false">Supuestos!$B$6*(1+Supuestos!$B$7)^2</f>
        <v>720</v>
      </c>
      <c r="E11" s="15" t="n">
        <f aca="false">Supuestos!$B$6*(1+Supuestos!$B$7)^3</f>
        <v>864</v>
      </c>
    </row>
    <row r="12" customFormat="false" ht="15" hidden="false" customHeight="false" outlineLevel="0" collapsed="false">
      <c r="A12" s="3" t="s">
        <v>136</v>
      </c>
      <c r="B12" s="15" t="n">
        <f aca="false">B11*Supuestos!$B$21+B5*Supuestos!$B$22</f>
        <v>1300</v>
      </c>
      <c r="C12" s="15" t="n">
        <f aca="false">C11*Supuestos!$B$21+C5*Supuestos!$B$22</f>
        <v>1560</v>
      </c>
      <c r="D12" s="15" t="n">
        <f aca="false">D11*Supuestos!$B$21+D5*Supuestos!$B$22</f>
        <v>1872</v>
      </c>
      <c r="E12" s="15" t="n">
        <f aca="false">E11*Supuestos!$B$21+E5*Supuestos!$B$22</f>
        <v>2246.4</v>
      </c>
      <c r="F12" s="11" t="s">
        <v>137</v>
      </c>
    </row>
    <row r="13" customFormat="false" ht="15" hidden="false" customHeight="false" outlineLevel="0" collapsed="false">
      <c r="A13" s="3" t="s">
        <v>138</v>
      </c>
      <c r="B13" s="15" t="n">
        <f aca="false">B5*Supuestos!$B$23*Supuestos!$B$24+Supuestos!$B$25*Supuestos!$B$26</f>
        <v>15030</v>
      </c>
      <c r="C13" s="15" t="n">
        <f aca="false">C5*Supuestos!$B$23*Supuestos!$B$24+Supuestos!$B$25*Supuestos!$B$26</f>
        <v>18030</v>
      </c>
      <c r="D13" s="15" t="n">
        <f aca="false">D5*Supuestos!$B$23*Supuestos!$B$24+Supuestos!$B$25*Supuestos!$B$26</f>
        <v>21630</v>
      </c>
      <c r="E13" s="15" t="n">
        <f aca="false">E5*Supuestos!$B$23*Supuestos!$B$24+Supuestos!$B$25*Supuestos!$B$26</f>
        <v>25950</v>
      </c>
      <c r="F13" s="11" t="s">
        <v>139</v>
      </c>
    </row>
    <row r="14" customFormat="false" ht="15" hidden="false" customHeight="false" outlineLevel="0" collapsed="false">
      <c r="A14" s="3" t="s">
        <v>140</v>
      </c>
      <c r="B14" s="18" t="n">
        <f aca="false">B13*Supuestos!$B$9*12/1024/1024</f>
        <v>3.78410339355469</v>
      </c>
      <c r="C14" s="18" t="n">
        <f aca="false">C13*Supuestos!$B$9*12/1024/1024</f>
        <v>4.53941345214844</v>
      </c>
      <c r="D14" s="18" t="n">
        <f aca="false">D13*Supuestos!$B$9*12/1024/1024</f>
        <v>5.44578552246094</v>
      </c>
      <c r="E14" s="18" t="n">
        <f aca="false">E13*Supuestos!$B$9*12/1024/1024</f>
        <v>6.53343200683594</v>
      </c>
      <c r="F14" s="11" t="s">
        <v>141</v>
      </c>
    </row>
    <row r="15" customFormat="false" ht="15" hidden="false" customHeight="false" outlineLevel="0" collapsed="false">
      <c r="A15" s="3" t="s">
        <v>142</v>
      </c>
      <c r="B15" s="18" t="n">
        <f aca="false">B14</f>
        <v>3.78410339355469</v>
      </c>
      <c r="C15" s="18" t="n">
        <f aca="false">B15+C14</f>
        <v>8.32351684570313</v>
      </c>
      <c r="D15" s="18" t="n">
        <f aca="false">C15+D14</f>
        <v>13.7693023681641</v>
      </c>
      <c r="E15" s="18" t="n">
        <f aca="false">D15+E14</f>
        <v>20.302734375</v>
      </c>
    </row>
    <row r="16" customFormat="false" ht="15" hidden="false" customHeight="false" outlineLevel="0" collapsed="false">
      <c r="A16" s="2" t="s">
        <v>143</v>
      </c>
      <c r="B16" s="19" t="n">
        <f aca="false">(B12/1024/1024+B15)*(1+Supuestos!$B$27)</f>
        <v>4.92094612121582</v>
      </c>
      <c r="C16" s="19" t="n">
        <f aca="false">(C12/1024/1024+C15)*(1+Supuestos!$B$27)</f>
        <v>10.8225059509277</v>
      </c>
      <c r="D16" s="19" t="n">
        <f aca="false">(D12/1024/1024+D15)*(1+Supuestos!$B$27)</f>
        <v>17.9024139404297</v>
      </c>
      <c r="E16" s="19" t="n">
        <f aca="false">(E12/1024/1024+E15)*(1+Supuestos!$B$27)</f>
        <v>26.3963397216797</v>
      </c>
      <c r="F16" s="11" t="s">
        <v>144</v>
      </c>
    </row>
    <row r="18" customFormat="false" ht="18" hidden="false" customHeight="true" outlineLevel="0" collapsed="false">
      <c r="A18" s="4" t="s">
        <v>145</v>
      </c>
      <c r="B18" s="4"/>
      <c r="C18" s="4"/>
      <c r="D18" s="4"/>
      <c r="E18" s="4"/>
      <c r="F18" s="4"/>
    </row>
    <row r="19" customFormat="false" ht="15" hidden="false" customHeight="false" outlineLevel="0" collapsed="false">
      <c r="A19" s="2" t="s">
        <v>146</v>
      </c>
      <c r="B19" s="20" t="n">
        <f aca="false">B8+B16</f>
        <v>3535.66313362122</v>
      </c>
      <c r="C19" s="20" t="n">
        <f aca="false">C8+C16</f>
        <v>7778.45531845093</v>
      </c>
      <c r="D19" s="20" t="n">
        <f aca="false">D8+D16</f>
        <v>12869.8039764404</v>
      </c>
      <c r="E19" s="20" t="n">
        <f aca="false">E8+E16</f>
        <v>18979.4204022217</v>
      </c>
      <c r="F19" s="11" t="s">
        <v>147</v>
      </c>
    </row>
    <row r="20" customFormat="false" ht="15" hidden="false" customHeight="false" outlineLevel="0" collapsed="false">
      <c r="A20" s="2" t="s">
        <v>148</v>
      </c>
      <c r="B20" s="21" t="n">
        <f aca="false">B19/1024</f>
        <v>3.45279602892697</v>
      </c>
      <c r="C20" s="21" t="n">
        <f aca="false">C19/1024</f>
        <v>7.59614777192474</v>
      </c>
      <c r="D20" s="21" t="n">
        <f aca="false">D19/1024</f>
        <v>12.5681679457426</v>
      </c>
      <c r="E20" s="21" t="n">
        <f aca="false">E19/1024</f>
        <v>18.5345902365446</v>
      </c>
    </row>
  </sheetData>
  <mergeCells count="4">
    <mergeCell ref="A1:F1"/>
    <mergeCell ref="A4:F4"/>
    <mergeCell ref="A10:F10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6"/>
    <col collapsed="false" customWidth="true" hidden="false" outlineLevel="0" max="6" min="6" style="0" width="55"/>
  </cols>
  <sheetData>
    <row r="1" customFormat="false" ht="25.5" hidden="false" customHeight="true" outlineLevel="0" collapsed="false">
      <c r="A1" s="1" t="s">
        <v>149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4" t="s">
        <v>119</v>
      </c>
      <c r="B3" s="14" t="s">
        <v>120</v>
      </c>
      <c r="C3" s="14" t="s">
        <v>121</v>
      </c>
      <c r="D3" s="14" t="s">
        <v>122</v>
      </c>
      <c r="E3" s="14" t="s">
        <v>123</v>
      </c>
      <c r="F3" s="14" t="s">
        <v>124</v>
      </c>
    </row>
    <row r="4" customFormat="false" ht="18" hidden="false" customHeight="true" outlineLevel="0" collapsed="false">
      <c r="A4" s="4" t="s">
        <v>150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3" t="s">
        <v>151</v>
      </c>
      <c r="B5" s="15" t="n">
        <f aca="false">Supuestos!$B$4*(1+Supuestos!$B$7)^0</f>
        <v>100</v>
      </c>
      <c r="C5" s="15" t="n">
        <f aca="false">Supuestos!$B$4*(1+Supuestos!$B$7)^1</f>
        <v>120</v>
      </c>
      <c r="D5" s="15" t="n">
        <f aca="false">Supuestos!$B$4*(1+Supuestos!$B$7)^2</f>
        <v>144</v>
      </c>
      <c r="E5" s="15" t="n">
        <f aca="false">Supuestos!$B$4*(1+Supuestos!$B$7)^3</f>
        <v>172.8</v>
      </c>
    </row>
    <row r="6" customFormat="false" ht="15" hidden="false" customHeight="false" outlineLevel="0" collapsed="false">
      <c r="A6" s="2" t="s">
        <v>152</v>
      </c>
      <c r="B6" s="22" t="n">
        <f aca="false">ROUNDUP((B5/Supuestos!$B$30)*(1+Supuestos!$B$33),0)</f>
        <v>3</v>
      </c>
      <c r="C6" s="22" t="n">
        <f aca="false">ROUNDUP((C5/Supuestos!$B$30)*(1+Supuestos!$B$33),0)</f>
        <v>4</v>
      </c>
      <c r="D6" s="22" t="n">
        <f aca="false">ROUNDUP((D5/Supuestos!$B$30)*(1+Supuestos!$B$33),0)</f>
        <v>4</v>
      </c>
      <c r="E6" s="22" t="n">
        <f aca="false">ROUNDUP((E5/Supuestos!$B$30)*(1+Supuestos!$B$33),0)</f>
        <v>5</v>
      </c>
      <c r="F6" s="11" t="s">
        <v>153</v>
      </c>
    </row>
    <row r="7" customFormat="false" ht="15" hidden="false" customHeight="false" outlineLevel="0" collapsed="false">
      <c r="A7" s="2" t="s">
        <v>154</v>
      </c>
      <c r="B7" s="23" t="n">
        <f aca="false">MAX(B6,Supuestos!$B$34)</f>
        <v>3</v>
      </c>
      <c r="C7" s="23" t="n">
        <f aca="false">MAX(C6,Supuestos!$B$34)</f>
        <v>4</v>
      </c>
      <c r="D7" s="23" t="n">
        <f aca="false">MAX(D6,Supuestos!$B$34)</f>
        <v>4</v>
      </c>
      <c r="E7" s="23" t="n">
        <f aca="false">MAX(E6,Supuestos!$B$34)</f>
        <v>5</v>
      </c>
      <c r="F7" s="11" t="s">
        <v>155</v>
      </c>
    </row>
    <row r="8" customFormat="false" ht="15" hidden="false" customHeight="false" outlineLevel="0" collapsed="false">
      <c r="A8" s="2" t="s">
        <v>156</v>
      </c>
      <c r="B8" s="20" t="n">
        <f aca="false">(Supuestos!$B$31*Supuestos!$B$34+Supuestos!$B$32*B5)*(1+Supuestos!$B$33)</f>
        <v>7.8</v>
      </c>
      <c r="C8" s="20" t="n">
        <f aca="false">(Supuestos!$B$31*Supuestos!$B$34+Supuestos!$B$32*C5)*(1+Supuestos!$B$33)</f>
        <v>8.58</v>
      </c>
      <c r="D8" s="20" t="n">
        <f aca="false">(Supuestos!$B$31*Supuestos!$B$34+Supuestos!$B$32*D5)*(1+Supuestos!$B$33)</f>
        <v>9.516</v>
      </c>
      <c r="E8" s="20" t="n">
        <f aca="false">(Supuestos!$B$31*Supuestos!$B$34+Supuestos!$B$32*E5)*(1+Supuestos!$B$33)</f>
        <v>10.6392</v>
      </c>
      <c r="F8" s="11" t="s">
        <v>157</v>
      </c>
    </row>
    <row r="10" customFormat="false" ht="18" hidden="false" customHeight="true" outlineLevel="0" collapsed="false">
      <c r="A10" s="4" t="s">
        <v>158</v>
      </c>
      <c r="B10" s="4"/>
      <c r="C10" s="4"/>
      <c r="D10" s="4"/>
      <c r="E10" s="4"/>
      <c r="F10" s="4"/>
    </row>
    <row r="11" customFormat="false" ht="15" hidden="false" customHeight="false" outlineLevel="0" collapsed="false">
      <c r="A11" s="3" t="s">
        <v>159</v>
      </c>
      <c r="B11" s="24" t="n">
        <f aca="false">Almacenamiento!B5*Supuestos!$B$23</f>
        <v>6000</v>
      </c>
      <c r="C11" s="24" t="n">
        <f aca="false">Almacenamiento!C5*Supuestos!$B$23</f>
        <v>7200</v>
      </c>
      <c r="D11" s="24" t="n">
        <f aca="false">Almacenamiento!D5*Supuestos!$B$23</f>
        <v>8640</v>
      </c>
      <c r="E11" s="24" t="n">
        <f aca="false">Almacenamiento!E5*Supuestos!$B$23</f>
        <v>10368</v>
      </c>
      <c r="F11" s="11" t="s">
        <v>160</v>
      </c>
    </row>
    <row r="12" customFormat="false" ht="15" hidden="false" customHeight="false" outlineLevel="0" collapsed="false">
      <c r="A12" s="3" t="s">
        <v>161</v>
      </c>
      <c r="B12" s="16" t="n">
        <f aca="false">(B11/(Supuestos!$B$10*3600))*Supuestos!$B$40</f>
        <v>0.5</v>
      </c>
      <c r="C12" s="16" t="n">
        <f aca="false">(C11/(Supuestos!$B$10*3600))*Supuestos!$B$40</f>
        <v>0.6</v>
      </c>
      <c r="D12" s="16" t="n">
        <f aca="false">(D11/(Supuestos!$B$10*3600))*Supuestos!$B$40</f>
        <v>0.72</v>
      </c>
      <c r="E12" s="16" t="n">
        <f aca="false">(E11/(Supuestos!$B$10*3600))*Supuestos!$B$40</f>
        <v>0.864</v>
      </c>
      <c r="F12" s="11" t="s">
        <v>162</v>
      </c>
    </row>
    <row r="13" customFormat="false" ht="15" hidden="false" customHeight="false" outlineLevel="0" collapsed="false">
      <c r="A13" s="2" t="s">
        <v>163</v>
      </c>
      <c r="B13" s="22" t="n">
        <f aca="false">ROUNDUP((B12/Supuestos!$B$37)*(1+Supuestos!$B$39),0)</f>
        <v>1</v>
      </c>
      <c r="C13" s="22" t="n">
        <f aca="false">ROUNDUP((C12/Supuestos!$B$37)*(1+Supuestos!$B$39),0)</f>
        <v>1</v>
      </c>
      <c r="D13" s="22" t="n">
        <f aca="false">ROUNDUP((D12/Supuestos!$B$37)*(1+Supuestos!$B$39),0)</f>
        <v>1</v>
      </c>
      <c r="E13" s="22" t="n">
        <f aca="false">ROUNDUP((E12/Supuestos!$B$37)*(1+Supuestos!$B$39),0)</f>
        <v>1</v>
      </c>
      <c r="F13" s="11" t="s">
        <v>164</v>
      </c>
    </row>
    <row r="14" customFormat="false" ht="15" hidden="false" customHeight="false" outlineLevel="0" collapsed="false">
      <c r="A14" s="2" t="s">
        <v>165</v>
      </c>
      <c r="B14" s="23" t="n">
        <f aca="false">MAX(B13,2)</f>
        <v>2</v>
      </c>
      <c r="C14" s="23" t="n">
        <f aca="false">MAX(C13,2)</f>
        <v>2</v>
      </c>
      <c r="D14" s="23" t="n">
        <f aca="false">MAX(D13,2)</f>
        <v>2</v>
      </c>
      <c r="E14" s="23" t="n">
        <f aca="false">MAX(E13,2)</f>
        <v>2</v>
      </c>
    </row>
    <row r="15" customFormat="false" ht="15" hidden="false" customHeight="false" outlineLevel="0" collapsed="false">
      <c r="A15" s="2" t="s">
        <v>166</v>
      </c>
      <c r="B15" s="20" t="n">
        <f aca="false">B14*Supuestos!$B$38</f>
        <v>10.2</v>
      </c>
      <c r="C15" s="20" t="n">
        <f aca="false">C14*Supuestos!$B$38</f>
        <v>10.2</v>
      </c>
      <c r="D15" s="20" t="n">
        <f aca="false">D14*Supuestos!$B$38</f>
        <v>10.2</v>
      </c>
      <c r="E15" s="20" t="n">
        <f aca="false">E14*Supuestos!$B$38</f>
        <v>10.2</v>
      </c>
      <c r="F15" s="11" t="s">
        <v>167</v>
      </c>
    </row>
  </sheetData>
  <mergeCells count="3">
    <mergeCell ref="A1:F1"/>
    <mergeCell ref="A4:F4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6"/>
    <col collapsed="false" customWidth="true" hidden="false" outlineLevel="0" max="6" min="6" style="0" width="55"/>
  </cols>
  <sheetData>
    <row r="1" customFormat="false" ht="25.5" hidden="false" customHeight="true" outlineLevel="0" collapsed="false">
      <c r="A1" s="1" t="s">
        <v>168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4" t="s">
        <v>119</v>
      </c>
      <c r="B3" s="14" t="s">
        <v>120</v>
      </c>
      <c r="C3" s="14" t="s">
        <v>121</v>
      </c>
      <c r="D3" s="14" t="s">
        <v>122</v>
      </c>
      <c r="E3" s="14" t="s">
        <v>123</v>
      </c>
      <c r="F3" s="14" t="s">
        <v>124</v>
      </c>
    </row>
    <row r="4" customFormat="false" ht="18" hidden="false" customHeight="true" outlineLevel="0" collapsed="false">
      <c r="A4" s="4" t="s">
        <v>169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7" t="s">
        <v>151</v>
      </c>
      <c r="B5" s="24" t="n">
        <f aca="false">Computo!B5</f>
        <v>100</v>
      </c>
      <c r="C5" s="24" t="n">
        <f aca="false">Computo!C5</f>
        <v>120</v>
      </c>
      <c r="D5" s="24" t="n">
        <f aca="false">Computo!D5</f>
        <v>144</v>
      </c>
      <c r="E5" s="24" t="n">
        <f aca="false">Computo!E5</f>
        <v>172.8</v>
      </c>
    </row>
    <row r="6" customFormat="false" ht="15" hidden="false" customHeight="false" outlineLevel="0" collapsed="false">
      <c r="A6" s="3" t="s">
        <v>170</v>
      </c>
      <c r="B6" s="15" t="n">
        <f aca="false">B5*Supuestos!$B$43</f>
        <v>15</v>
      </c>
      <c r="C6" s="15" t="n">
        <f aca="false">C5*Supuestos!$B$43</f>
        <v>18</v>
      </c>
      <c r="D6" s="15" t="n">
        <f aca="false">D5*Supuestos!$B$43</f>
        <v>21.6</v>
      </c>
      <c r="E6" s="15" t="n">
        <f aca="false">E5*Supuestos!$B$43</f>
        <v>25.92</v>
      </c>
    </row>
    <row r="7" customFormat="false" ht="15" hidden="false" customHeight="false" outlineLevel="0" collapsed="false">
      <c r="A7" s="3" t="s">
        <v>171</v>
      </c>
      <c r="B7" s="18" t="n">
        <f aca="false">(Supuestos!$B$13*Supuestos!$B$14+Supuestos!$B$15*Supuestos!$B$16)/(Supuestos!$B$13+Supuestos!$B$15)</f>
        <v>5.1875</v>
      </c>
      <c r="C7" s="18" t="n">
        <f aca="false">(Supuestos!$B$13*Supuestos!$B$14+Supuestos!$B$15*Supuestos!$B$16)/(Supuestos!$B$13+Supuestos!$B$15)</f>
        <v>5.1875</v>
      </c>
      <c r="D7" s="18" t="n">
        <f aca="false">(Supuestos!$B$13*Supuestos!$B$14+Supuestos!$B$15*Supuestos!$B$16)/(Supuestos!$B$13+Supuestos!$B$15)</f>
        <v>5.1875</v>
      </c>
      <c r="E7" s="18" t="n">
        <f aca="false">(Supuestos!$B$13*Supuestos!$B$14+Supuestos!$B$15*Supuestos!$B$16)/(Supuestos!$B$13+Supuestos!$B$15)</f>
        <v>5.1875</v>
      </c>
      <c r="F7" s="11" t="s">
        <v>172</v>
      </c>
    </row>
    <row r="8" customFormat="false" ht="15" hidden="false" customHeight="false" outlineLevel="0" collapsed="false">
      <c r="A8" s="2" t="s">
        <v>173</v>
      </c>
      <c r="B8" s="17" t="n">
        <f aca="false">(B6*B7*8/Supuestos!$B$44)*(1+Supuestos!$B$47)</f>
        <v>68.475</v>
      </c>
      <c r="C8" s="17" t="n">
        <f aca="false">(C6*C7*8/Supuestos!$B$44)*(1+Supuestos!$B$47)</f>
        <v>82.17</v>
      </c>
      <c r="D8" s="17" t="n">
        <f aca="false">(D6*D7*8/Supuestos!$B$44)*(1+Supuestos!$B$47)</f>
        <v>98.604</v>
      </c>
      <c r="E8" s="17" t="n">
        <f aca="false">(E6*E7*8/Supuestos!$B$44)*(1+Supuestos!$B$47)</f>
        <v>118.3248</v>
      </c>
      <c r="F8" s="11" t="s">
        <v>174</v>
      </c>
    </row>
    <row r="9" customFormat="false" ht="15" hidden="false" customHeight="false" outlineLevel="0" collapsed="false">
      <c r="A9" s="3" t="s">
        <v>175</v>
      </c>
      <c r="B9" s="16" t="n">
        <f aca="false">(B5*Supuestos!$B$46/60)</f>
        <v>10</v>
      </c>
      <c r="C9" s="16" t="n">
        <f aca="false">(C5*Supuestos!$B$46/60)</f>
        <v>12</v>
      </c>
      <c r="D9" s="16" t="n">
        <f aca="false">(D5*Supuestos!$B$46/60)</f>
        <v>14.4</v>
      </c>
      <c r="E9" s="16" t="n">
        <f aca="false">(E5*Supuestos!$B$46/60)</f>
        <v>17.28</v>
      </c>
      <c r="F9" s="11" t="s">
        <v>176</v>
      </c>
    </row>
    <row r="10" customFormat="false" ht="15" hidden="false" customHeight="false" outlineLevel="0" collapsed="false">
      <c r="A10" s="2" t="s">
        <v>177</v>
      </c>
      <c r="B10" s="17" t="n">
        <f aca="false">(B9*Supuestos!$B$45*8/1000)*(1+Supuestos!$B$47)</f>
        <v>1.32</v>
      </c>
      <c r="C10" s="17" t="n">
        <f aca="false">(C9*Supuestos!$B$45*8/1000)*(1+Supuestos!$B$47)</f>
        <v>1.584</v>
      </c>
      <c r="D10" s="17" t="n">
        <f aca="false">(D9*Supuestos!$B$45*8/1000)*(1+Supuestos!$B$47)</f>
        <v>1.9008</v>
      </c>
      <c r="E10" s="17" t="n">
        <f aca="false">(E9*Supuestos!$B$45*8/1000)*(1+Supuestos!$B$47)</f>
        <v>2.28096</v>
      </c>
      <c r="F10" s="11" t="s">
        <v>178</v>
      </c>
    </row>
    <row r="11" customFormat="false" ht="15" hidden="false" customHeight="false" outlineLevel="0" collapsed="false">
      <c r="A11" s="2" t="s">
        <v>179</v>
      </c>
      <c r="B11" s="20" t="n">
        <f aca="false">B8+B10</f>
        <v>69.795</v>
      </c>
      <c r="C11" s="20" t="n">
        <f aca="false">C8+C10</f>
        <v>83.754</v>
      </c>
      <c r="D11" s="20" t="n">
        <f aca="false">D8+D10</f>
        <v>100.5048</v>
      </c>
      <c r="E11" s="20" t="n">
        <f aca="false">E8+E10</f>
        <v>120.60576</v>
      </c>
      <c r="F11" s="11" t="s">
        <v>180</v>
      </c>
    </row>
    <row r="13" customFormat="false" ht="18" hidden="false" customHeight="true" outlineLevel="0" collapsed="false">
      <c r="A13" s="4" t="s">
        <v>181</v>
      </c>
      <c r="B13" s="4"/>
      <c r="C13" s="4"/>
      <c r="D13" s="4"/>
      <c r="E13" s="4"/>
      <c r="F13" s="4"/>
    </row>
    <row r="14" customFormat="false" ht="15" hidden="false" customHeight="false" outlineLevel="0" collapsed="false">
      <c r="A14" s="3" t="s">
        <v>182</v>
      </c>
      <c r="B14" s="25" t="n">
        <f aca="false">Almacenamiento!B6*Supuestos!$B$9/1024</f>
        <v>294.228515625</v>
      </c>
      <c r="C14" s="25" t="n">
        <f aca="false">Almacenamiento!C6*Supuestos!$B$9/1024</f>
        <v>353.07421875</v>
      </c>
      <c r="D14" s="25" t="n">
        <f aca="false">Almacenamiento!D6*Supuestos!$B$9/1024</f>
        <v>423.6890625</v>
      </c>
      <c r="E14" s="25" t="n">
        <f aca="false">Almacenamiento!E6*Supuestos!$B$9/1024</f>
        <v>508.426875</v>
      </c>
      <c r="F14" s="11" t="s">
        <v>183</v>
      </c>
    </row>
    <row r="15" customFormat="false" ht="15" hidden="false" customHeight="false" outlineLevel="0" collapsed="false">
      <c r="A15" s="3" t="s">
        <v>184</v>
      </c>
      <c r="B15" s="16" t="n">
        <f aca="false">B5*Supuestos!$B$46*60*Supuestos!$B$10*Supuestos!$B$45*Supuestos!$B$9/1024/1024</f>
        <v>113.296508789063</v>
      </c>
      <c r="C15" s="16" t="n">
        <f aca="false">C5*Supuestos!$B$46*60*Supuestos!$B$10*Supuestos!$B$45*Supuestos!$B$9/1024/1024</f>
        <v>135.955810546875</v>
      </c>
      <c r="D15" s="16" t="n">
        <f aca="false">D5*Supuestos!$B$46*60*Supuestos!$B$10*Supuestos!$B$45*Supuestos!$B$9/1024/1024</f>
        <v>163.14697265625</v>
      </c>
      <c r="E15" s="16" t="n">
        <f aca="false">E5*Supuestos!$B$46*60*Supuestos!$B$10*Supuestos!$B$45*Supuestos!$B$9/1024/1024</f>
        <v>195.7763671875</v>
      </c>
      <c r="F15" s="11" t="s">
        <v>185</v>
      </c>
    </row>
    <row r="16" customFormat="false" ht="15" hidden="false" customHeight="false" outlineLevel="0" collapsed="false">
      <c r="A16" s="2" t="s">
        <v>186</v>
      </c>
      <c r="B16" s="20" t="n">
        <f aca="false">B14+B15</f>
        <v>407.525024414063</v>
      </c>
      <c r="C16" s="20" t="n">
        <f aca="false">C14+C15</f>
        <v>489.030029296875</v>
      </c>
      <c r="D16" s="20" t="n">
        <f aca="false">D14+D15</f>
        <v>586.83603515625</v>
      </c>
      <c r="E16" s="20" t="n">
        <f aca="false">E14+E15</f>
        <v>704.2032421875</v>
      </c>
    </row>
    <row r="18" customFormat="false" ht="15" hidden="false" customHeight="false" outlineLevel="0" collapsed="false">
      <c r="A18" s="2" t="s">
        <v>187</v>
      </c>
    </row>
    <row r="19" customFormat="false" ht="60" hidden="false" customHeight="true" outlineLevel="0" collapsed="false">
      <c r="A19" s="9" t="s">
        <v>188</v>
      </c>
      <c r="B19" s="9"/>
      <c r="C19" s="9"/>
      <c r="D19" s="9"/>
      <c r="E19" s="9"/>
      <c r="F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</row>
  </sheetData>
  <mergeCells count="4">
    <mergeCell ref="A1:F1"/>
    <mergeCell ref="A4:F4"/>
    <mergeCell ref="A13:F13"/>
    <mergeCell ref="A19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5"/>
    <col collapsed="false" customWidth="true" hidden="false" outlineLevel="0" max="6" min="6" style="0" width="48"/>
  </cols>
  <sheetData>
    <row r="1" customFormat="false" ht="25.5" hidden="false" customHeight="true" outlineLevel="0" collapsed="false">
      <c r="A1" s="1" t="s">
        <v>189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4" t="s">
        <v>190</v>
      </c>
      <c r="B3" s="14" t="s">
        <v>120</v>
      </c>
      <c r="C3" s="14" t="s">
        <v>121</v>
      </c>
      <c r="D3" s="14" t="s">
        <v>122</v>
      </c>
      <c r="E3" s="14" t="s">
        <v>123</v>
      </c>
      <c r="F3" s="14" t="s">
        <v>191</v>
      </c>
    </row>
    <row r="4" customFormat="false" ht="18" hidden="false" customHeight="true" outlineLevel="0" collapsed="false">
      <c r="A4" s="4" t="s">
        <v>192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3" t="s">
        <v>193</v>
      </c>
      <c r="B5" s="25" t="n">
        <f aca="false">Almacenamiento!B19</f>
        <v>3535.66313362122</v>
      </c>
      <c r="C5" s="25" t="n">
        <f aca="false">Almacenamiento!C19</f>
        <v>7778.45531845093</v>
      </c>
      <c r="D5" s="25" t="n">
        <f aca="false">Almacenamiento!D19</f>
        <v>12869.8039764404</v>
      </c>
      <c r="E5" s="25" t="n">
        <f aca="false">Almacenamiento!E19</f>
        <v>18979.4204022217</v>
      </c>
      <c r="F5" s="11" t="s">
        <v>194</v>
      </c>
    </row>
    <row r="6" customFormat="false" ht="15" hidden="false" customHeight="false" outlineLevel="0" collapsed="false">
      <c r="A6" s="2" t="s">
        <v>195</v>
      </c>
      <c r="B6" s="21" t="n">
        <f aca="false">Almacenamiento!B20</f>
        <v>3.45279602892697</v>
      </c>
      <c r="C6" s="21" t="n">
        <f aca="false">Almacenamiento!C20</f>
        <v>7.59614777192474</v>
      </c>
      <c r="D6" s="21" t="n">
        <f aca="false">Almacenamiento!D20</f>
        <v>12.5681679457426</v>
      </c>
      <c r="E6" s="21" t="n">
        <f aca="false">Almacenamiento!E20</f>
        <v>18.5345902365446</v>
      </c>
    </row>
    <row r="8" customFormat="false" ht="18" hidden="false" customHeight="true" outlineLevel="0" collapsed="false">
      <c r="A8" s="4" t="s">
        <v>196</v>
      </c>
      <c r="B8" s="4"/>
      <c r="C8" s="4"/>
      <c r="D8" s="4"/>
      <c r="E8" s="4"/>
      <c r="F8" s="4"/>
    </row>
    <row r="9" customFormat="false" ht="15" hidden="false" customHeight="false" outlineLevel="0" collapsed="false">
      <c r="A9" s="2" t="s">
        <v>197</v>
      </c>
      <c r="B9" s="23" t="n">
        <f aca="false">Computo!B7</f>
        <v>3</v>
      </c>
      <c r="C9" s="23" t="n">
        <f aca="false">Computo!C7</f>
        <v>4</v>
      </c>
      <c r="D9" s="23" t="n">
        <f aca="false">Computo!D7</f>
        <v>4</v>
      </c>
      <c r="E9" s="23" t="n">
        <f aca="false">Computo!E7</f>
        <v>5</v>
      </c>
    </row>
    <row r="10" customFormat="false" ht="15" hidden="false" customHeight="false" outlineLevel="0" collapsed="false">
      <c r="A10" s="2" t="s">
        <v>198</v>
      </c>
      <c r="B10" s="20" t="n">
        <f aca="false">Computo!B8</f>
        <v>7.8</v>
      </c>
      <c r="C10" s="20" t="n">
        <f aca="false">Computo!C8</f>
        <v>8.58</v>
      </c>
      <c r="D10" s="20" t="n">
        <f aca="false">Computo!D8</f>
        <v>9.516</v>
      </c>
      <c r="E10" s="20" t="n">
        <f aca="false">Computo!E8</f>
        <v>10.6392</v>
      </c>
    </row>
    <row r="11" customFormat="false" ht="23.85" hidden="false" customHeight="false" outlineLevel="0" collapsed="false">
      <c r="A11" s="3" t="s">
        <v>199</v>
      </c>
      <c r="B11" s="26" t="str">
        <f aca="false">IF(B9&lt;=1,"P0v3 (1 vCPU/4GB)",IF(B9&lt;=2,"P1v3 (2 vCPU/8GB)",IF(B9&lt;=4,"P2v3 (4 vCPU/16GB)",IF(B9&lt;=8,"P3v3 (8 vCPU/32GB)","P4mv3 o superior / escalado horizontal (validar en Azure)"))))</f>
        <v>P2v3 (4 vCPU/16GB)</v>
      </c>
      <c r="C11" s="26" t="str">
        <f aca="false">IF(C9&lt;=1,"P0v3 (1 vCPU/4GB)",IF(C9&lt;=2,"P1v3 (2 vCPU/8GB)",IF(C9&lt;=4,"P2v3 (4 vCPU/16GB)",IF(C9&lt;=8,"P3v3 (8 vCPU/32GB)","P4mv3 o superior / escalado horizontal (validar en Azure)"))))</f>
        <v>P2v3 (4 vCPU/16GB)</v>
      </c>
      <c r="D11" s="26" t="str">
        <f aca="false">IF(D9&lt;=1,"P0v3 (1 vCPU/4GB)",IF(D9&lt;=2,"P1v3 (2 vCPU/8GB)",IF(D9&lt;=4,"P2v3 (4 vCPU/16GB)",IF(D9&lt;=8,"P3v3 (8 vCPU/32GB)","P4mv3 o superior / escalado horizontal (validar en Azure)"))))</f>
        <v>P2v3 (4 vCPU/16GB)</v>
      </c>
      <c r="E11" s="26" t="str">
        <f aca="false">IF(E9&lt;=1,"P0v3 (1 vCPU/4GB)",IF(E9&lt;=2,"P1v3 (2 vCPU/8GB)",IF(E9&lt;=4,"P2v3 (4 vCPU/16GB)",IF(E9&lt;=8,"P3v3 (8 vCPU/32GB)","P4mv3 o superior / escalado horizontal (validar en Azure)"))))</f>
        <v>P3v3 (8 vCPU/32GB)</v>
      </c>
      <c r="F11" s="11" t="s">
        <v>200</v>
      </c>
    </row>
    <row r="13" customFormat="false" ht="18" hidden="false" customHeight="true" outlineLevel="0" collapsed="false">
      <c r="A13" s="4" t="s">
        <v>201</v>
      </c>
      <c r="B13" s="4"/>
      <c r="C13" s="4"/>
      <c r="D13" s="4"/>
      <c r="E13" s="4"/>
      <c r="F13" s="4"/>
    </row>
    <row r="14" customFormat="false" ht="15" hidden="false" customHeight="false" outlineLevel="0" collapsed="false">
      <c r="A14" s="2" t="s">
        <v>202</v>
      </c>
      <c r="B14" s="23" t="n">
        <f aca="false">Computo!B14</f>
        <v>2</v>
      </c>
      <c r="C14" s="23" t="n">
        <f aca="false">Computo!C14</f>
        <v>2</v>
      </c>
      <c r="D14" s="23" t="n">
        <f aca="false">Computo!D14</f>
        <v>2</v>
      </c>
      <c r="E14" s="23" t="n">
        <f aca="false">Computo!E14</f>
        <v>2</v>
      </c>
    </row>
    <row r="15" customFormat="false" ht="15" hidden="false" customHeight="false" outlineLevel="0" collapsed="false">
      <c r="A15" s="2" t="s">
        <v>203</v>
      </c>
      <c r="B15" s="20" t="n">
        <f aca="false">Computo!B15</f>
        <v>10.2</v>
      </c>
      <c r="C15" s="20" t="n">
        <f aca="false">Computo!C15</f>
        <v>10.2</v>
      </c>
      <c r="D15" s="20" t="n">
        <f aca="false">Computo!D15</f>
        <v>10.2</v>
      </c>
      <c r="E15" s="20" t="n">
        <f aca="false">Computo!E15</f>
        <v>10.2</v>
      </c>
    </row>
    <row r="16" customFormat="false" ht="15" hidden="false" customHeight="false" outlineLevel="0" collapsed="false">
      <c r="A16" s="3" t="s">
        <v>204</v>
      </c>
      <c r="B16" s="26" t="str">
        <f aca="false">IF(B14&lt;=2,"GP_Gen5_2",IF(B14&lt;=4,"GP_Gen5_4",IF(B14&lt;=8,"GP_Gen5_8",IF(B14&lt;=16,"GP_Gen5_16","GP_Gen5_32 o superior / evaluar Business Critical o Hyperscale"))))</f>
        <v>GP_Gen5_2</v>
      </c>
      <c r="C16" s="26" t="str">
        <f aca="false">IF(C14&lt;=2,"GP_Gen5_2",IF(C14&lt;=4,"GP_Gen5_4",IF(C14&lt;=8,"GP_Gen5_8",IF(C14&lt;=16,"GP_Gen5_16","GP_Gen5_32 o superior / evaluar Business Critical o Hyperscale"))))</f>
        <v>GP_Gen5_2</v>
      </c>
      <c r="D16" s="26" t="str">
        <f aca="false">IF(D14&lt;=2,"GP_Gen5_2",IF(D14&lt;=4,"GP_Gen5_4",IF(D14&lt;=8,"GP_Gen5_8",IF(D14&lt;=16,"GP_Gen5_16","GP_Gen5_32 o superior / evaluar Business Critical o Hyperscale"))))</f>
        <v>GP_Gen5_2</v>
      </c>
      <c r="E16" s="26" t="str">
        <f aca="false">IF(E14&lt;=2,"GP_Gen5_2",IF(E14&lt;=4,"GP_Gen5_4",IF(E14&lt;=8,"GP_Gen5_8",IF(E14&lt;=16,"GP_Gen5_16","GP_Gen5_32 o superior / evaluar Business Critical o Hyperscale"))))</f>
        <v>GP_Gen5_2</v>
      </c>
      <c r="F16" s="11" t="s">
        <v>205</v>
      </c>
    </row>
    <row r="18" customFormat="false" ht="18" hidden="false" customHeight="true" outlineLevel="0" collapsed="false">
      <c r="A18" s="4" t="s">
        <v>206</v>
      </c>
      <c r="B18" s="4"/>
      <c r="C18" s="4"/>
      <c r="D18" s="4"/>
      <c r="E18" s="4"/>
      <c r="F18" s="4"/>
    </row>
    <row r="19" customFormat="false" ht="15" hidden="false" customHeight="false" outlineLevel="0" collapsed="false">
      <c r="A19" s="2" t="s">
        <v>207</v>
      </c>
      <c r="B19" s="20" t="n">
        <f aca="false">Red!B11</f>
        <v>69.795</v>
      </c>
      <c r="C19" s="20" t="n">
        <f aca="false">Red!C11</f>
        <v>83.754</v>
      </c>
      <c r="D19" s="20" t="n">
        <f aca="false">Red!D11</f>
        <v>100.5048</v>
      </c>
      <c r="E19" s="20" t="n">
        <f aca="false">Red!E11</f>
        <v>120.60576</v>
      </c>
      <c r="F19" s="11" t="s">
        <v>208</v>
      </c>
    </row>
    <row r="20" customFormat="false" ht="15" hidden="false" customHeight="false" outlineLevel="0" collapsed="false">
      <c r="A20" s="2" t="s">
        <v>209</v>
      </c>
      <c r="B20" s="20" t="n">
        <f aca="false">Red!B16</f>
        <v>407.525024414063</v>
      </c>
      <c r="C20" s="20" t="n">
        <f aca="false">Red!C16</f>
        <v>489.030029296875</v>
      </c>
      <c r="D20" s="20" t="n">
        <f aca="false">Red!D16</f>
        <v>586.83603515625</v>
      </c>
      <c r="E20" s="20" t="n">
        <f aca="false">Red!E16</f>
        <v>704.2032421875</v>
      </c>
    </row>
    <row r="22" customFormat="false" ht="18" hidden="false" customHeight="true" outlineLevel="0" collapsed="false">
      <c r="A22" s="4" t="s">
        <v>210</v>
      </c>
      <c r="B22" s="4"/>
      <c r="C22" s="4"/>
      <c r="D22" s="4"/>
      <c r="E22" s="4"/>
      <c r="F22" s="4"/>
    </row>
    <row r="23" customFormat="false" ht="25.5" hidden="false" customHeight="true" outlineLevel="0" collapsed="false">
      <c r="A23" s="9" t="s">
        <v>211</v>
      </c>
      <c r="B23" s="9"/>
      <c r="C23" s="9"/>
      <c r="D23" s="9"/>
      <c r="E23" s="9"/>
      <c r="F23" s="9"/>
    </row>
    <row r="24" customFormat="false" ht="25.5" hidden="false" customHeight="true" outlineLevel="0" collapsed="false">
      <c r="A24" s="9" t="s">
        <v>212</v>
      </c>
      <c r="B24" s="9"/>
      <c r="C24" s="9"/>
      <c r="D24" s="9"/>
      <c r="E24" s="9"/>
      <c r="F24" s="9"/>
    </row>
    <row r="25" customFormat="false" ht="25.5" hidden="false" customHeight="true" outlineLevel="0" collapsed="false">
      <c r="A25" s="9" t="s">
        <v>213</v>
      </c>
      <c r="B25" s="9"/>
      <c r="C25" s="9"/>
      <c r="D25" s="9"/>
      <c r="E25" s="9"/>
      <c r="F25" s="9"/>
    </row>
    <row r="26" customFormat="false" ht="25.5" hidden="false" customHeight="true" outlineLevel="0" collapsed="false">
      <c r="A26" s="9" t="s">
        <v>214</v>
      </c>
      <c r="B26" s="9"/>
      <c r="C26" s="9"/>
      <c r="D26" s="9"/>
      <c r="E26" s="9"/>
      <c r="F26" s="9"/>
    </row>
  </sheetData>
  <mergeCells count="10">
    <mergeCell ref="A1:F1"/>
    <mergeCell ref="A4:F4"/>
    <mergeCell ref="A8:F8"/>
    <mergeCell ref="A13:F13"/>
    <mergeCell ref="A18:F18"/>
    <mergeCell ref="A22:F22"/>
    <mergeCell ref="A23:F23"/>
    <mergeCell ref="A24:F24"/>
    <mergeCell ref="A25:F25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2026-09-02T06:07:55Z</dcterms:created>
  <dc:creator>openpyxl</dc:creator>
  <dc:description/>
  <dc:language>en-US</dc:language>
  <cp:lastModifiedBy/>
  <dcterms:modified xsi:type="dcterms:W3CDTF">2026-09-02T06:07:55Z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