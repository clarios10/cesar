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de Seguridad" sheetId="1" state="visible" r:id="rId1"/>
    <sheet xmlns:r="http://schemas.openxmlformats.org/officeDocument/2006/relationships" name="Resumen Ejecutivo" sheetId="2" state="visible" r:id="rId2"/>
    <sheet xmlns:r="http://schemas.openxmlformats.org/officeDocument/2006/relationships" name="Leyenda y Gu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DEECF9"/>
      <sz val="9"/>
    </font>
    <font>
      <name val="Arial"/>
      <b val="1"/>
      <color rgb="00FFFFFF"/>
      <sz val="16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666666"/>
      <sz val="10"/>
    </font>
    <font>
      <name val="Arial"/>
      <b val="1"/>
      <color rgb="00003E6B"/>
      <sz val="10"/>
    </font>
    <font>
      <name val="Arial"/>
      <color rgb="00000000"/>
      <sz val="10"/>
    </font>
    <font>
      <name val="Arial"/>
      <color rgb="00003E6B"/>
      <sz val="10"/>
    </font>
    <font>
      <name val="Arial"/>
      <b val="1"/>
      <color rgb="00A32D2D"/>
      <sz val="10"/>
    </font>
    <font>
      <name val="Arial"/>
      <color rgb="00A32D2D"/>
      <sz val="10"/>
    </font>
    <font>
      <name val="Arial"/>
      <color rgb="0027500A"/>
      <sz val="10"/>
    </font>
    <font>
      <name val="Arial"/>
      <b val="1"/>
      <color rgb="007A4F00"/>
      <sz val="10"/>
    </font>
    <font>
      <name val="Arial"/>
      <b val="1"/>
      <color rgb="00085041"/>
      <sz val="10"/>
    </font>
    <font>
      <name val="Arial"/>
      <color rgb="00633806"/>
      <sz val="10"/>
    </font>
    <font>
      <name val="Arial"/>
      <b val="1"/>
      <color rgb="003C3489"/>
      <sz val="10"/>
    </font>
    <font>
      <name val="Arial"/>
      <b val="1"/>
      <color rgb="00633806"/>
      <sz val="10"/>
    </font>
    <font>
      <name val="Arial"/>
      <b val="1"/>
      <color rgb="00712B13"/>
      <sz val="10"/>
    </font>
    <font>
      <name val="Arial"/>
      <b val="1"/>
      <color rgb="0027500A"/>
      <sz val="10"/>
    </font>
    <font>
      <name val="Arial"/>
      <color rgb="007A4F00"/>
      <sz val="10"/>
    </font>
    <font>
      <name val="Arial"/>
      <color rgb="00107C10"/>
      <sz val="10"/>
    </font>
    <font>
      <name val="Arial"/>
      <b val="1"/>
      <color rgb="00107C10"/>
      <sz val="12"/>
    </font>
    <font>
      <name val="Arial"/>
      <color rgb="00333333"/>
      <sz val="10"/>
    </font>
    <font>
      <name val="Arial"/>
      <b val="1"/>
      <color rgb="00666666"/>
      <sz val="10"/>
    </font>
    <font>
      <name val="Arial"/>
      <b val="1"/>
      <color rgb="00107C10"/>
      <sz val="10"/>
    </font>
  </fonts>
  <fills count="22">
    <fill>
      <patternFill/>
    </fill>
    <fill>
      <patternFill patternType="gray125"/>
    </fill>
    <fill>
      <patternFill patternType="solid">
        <fgColor rgb="00003E6B"/>
      </patternFill>
    </fill>
    <fill>
      <patternFill patternType="solid">
        <fgColor rgb="000078D4"/>
      </patternFill>
    </fill>
    <fill>
      <patternFill patternType="solid">
        <fgColor rgb="00F3F3F3"/>
      </patternFill>
    </fill>
    <fill>
      <patternFill patternType="solid">
        <fgColor rgb="00DEECF9"/>
      </patternFill>
    </fill>
    <fill>
      <patternFill patternType="solid">
        <fgColor rgb="00FFFFFF"/>
      </patternFill>
    </fill>
    <fill>
      <patternFill patternType="solid">
        <fgColor rgb="00FDEDED"/>
      </patternFill>
    </fill>
    <fill>
      <patternFill patternType="solid">
        <fgColor rgb="00EAF3DE"/>
      </patternFill>
    </fill>
    <fill>
      <patternFill patternType="solid">
        <fgColor rgb="00FFF4CE"/>
      </patternFill>
    </fill>
    <fill>
      <patternFill patternType="solid">
        <fgColor rgb="00F8F8F8"/>
      </patternFill>
    </fill>
    <fill>
      <patternFill patternType="solid">
        <fgColor rgb="001D9E75"/>
      </patternFill>
    </fill>
    <fill>
      <patternFill patternType="solid">
        <fgColor rgb="00E1F5EE"/>
      </patternFill>
    </fill>
    <fill>
      <patternFill patternType="solid">
        <fgColor rgb="00FAEEDA"/>
      </patternFill>
    </fill>
    <fill>
      <patternFill patternType="solid">
        <fgColor rgb="007F77DD"/>
      </patternFill>
    </fill>
    <fill>
      <patternFill patternType="solid">
        <fgColor rgb="00EEEDFE"/>
      </patternFill>
    </fill>
    <fill>
      <patternFill patternType="solid">
        <fgColor rgb="00BA7517"/>
      </patternFill>
    </fill>
    <fill>
      <patternFill patternType="solid">
        <fgColor rgb="00D85A30"/>
      </patternFill>
    </fill>
    <fill>
      <patternFill patternType="solid">
        <fgColor rgb="00FAECE7"/>
      </patternFill>
    </fill>
    <fill>
      <patternFill patternType="solid">
        <fgColor rgb="00639922"/>
      </patternFill>
    </fill>
    <fill>
      <patternFill patternType="solid">
        <fgColor rgb="00DFF6DD"/>
      </patternFill>
    </fill>
    <fill>
      <patternFill patternType="solid">
        <fgColor rgb="00106EB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0" fillId="10" borderId="0" pivotButton="0" quotePrefix="0" xfId="0"/>
    <xf numFmtId="0" fontId="5" fillId="11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center" vertical="center"/>
    </xf>
    <xf numFmtId="0" fontId="18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0" fontId="21" fillId="20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 indent="1"/>
    </xf>
    <xf numFmtId="0" fontId="16" fillId="15" borderId="1" applyAlignment="1" pivotButton="0" quotePrefix="0" xfId="0">
      <alignment horizontal="left" vertical="center" indent="1"/>
    </xf>
    <xf numFmtId="0" fontId="17" fillId="13" borderId="1" applyAlignment="1" pivotButton="0" quotePrefix="0" xfId="0">
      <alignment horizontal="left" vertical="center" indent="1"/>
    </xf>
    <xf numFmtId="0" fontId="18" fillId="18" borderId="1" applyAlignment="1" pivotButton="0" quotePrefix="0" xfId="0">
      <alignment horizontal="left" vertical="center" indent="1"/>
    </xf>
    <xf numFmtId="0" fontId="19" fillId="8" borderId="1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9" fontId="22" fillId="0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 indent="2"/>
    </xf>
    <xf numFmtId="0" fontId="11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13" fillId="9" borderId="1" applyAlignment="1" pivotButton="0" quotePrefix="0" xfId="0">
      <alignment horizontal="left" vertical="center" indent="2"/>
    </xf>
    <xf numFmtId="0" fontId="19" fillId="8" borderId="1" applyAlignment="1" pivotButton="0" quotePrefix="0" xfId="0">
      <alignment horizontal="left" vertical="center" indent="2"/>
    </xf>
    <xf numFmtId="0" fontId="12" fillId="8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left" vertical="center" wrapText="1" indent="1"/>
    </xf>
    <xf numFmtId="0" fontId="10" fillId="7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25" fillId="20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60" customWidth="1" min="3" max="3"/>
    <col width="14" customWidth="1" min="4" max="4"/>
    <col width="14" customWidth="1" min="5" max="5"/>
    <col width="16" customWidth="1" min="6" max="6"/>
    <col width="20" customWidth="1" min="7" max="7"/>
    <col width="18" customWidth="1" min="8" max="8"/>
    <col width="30" customWidth="1" min="9" max="9"/>
  </cols>
  <sheetData>
    <row r="1" ht="18" customHeight="1">
      <c r="A1" s="1" t="inlineStr">
        <is>
          <t>AZURE AI FOUNDRY  —  ESTRATEGIA DE SEGURIDAD</t>
        </is>
      </c>
    </row>
    <row r="2" ht="32" customHeight="1">
      <c r="A2" s="2" t="inlineStr">
        <is>
          <t>Checklist de Actividades por Capa</t>
        </is>
      </c>
    </row>
    <row r="3" ht="20" customHeight="1">
      <c r="A3" s="3" t="inlineStr">
        <is>
          <t>Proyecto:  [Nombre del Cliente]    |    Versión: 1.0    |    Fecha: Marzo 2026    |    Responsable: [Tu Nombre]</t>
        </is>
      </c>
    </row>
    <row r="4" ht="26" customHeight="1">
      <c r="A4" s="4" t="inlineStr">
        <is>
          <t>#</t>
        </is>
      </c>
      <c r="B4" s="4" t="inlineStr">
        <is>
          <t>Capa</t>
        </is>
      </c>
      <c r="C4" s="4" t="inlineStr">
        <is>
          <t>Actividad</t>
        </is>
      </c>
      <c r="D4" s="4" t="inlineStr">
        <is>
          <t>Tipo</t>
        </is>
      </c>
      <c r="E4" s="4" t="inlineStr">
        <is>
          <t>Prioridad</t>
        </is>
      </c>
      <c r="F4" s="4" t="inlineStr">
        <is>
          <t>Estado</t>
        </is>
      </c>
      <c r="G4" s="4" t="inlineStr">
        <is>
          <t>Responsable</t>
        </is>
      </c>
      <c r="H4" s="4" t="inlineStr">
        <is>
          <t>Fecha límite</t>
        </is>
      </c>
      <c r="I4" s="4" t="inlineStr">
        <is>
          <t>Notas</t>
        </is>
      </c>
    </row>
    <row r="5" ht="22" customHeight="1">
      <c r="A5" s="5" t="inlineStr">
        <is>
          <t xml:space="preserve">  CAPA 1 — IDENTIDAD Y ACCESO</t>
        </is>
      </c>
    </row>
    <row r="6" ht="40" customHeight="1">
      <c r="A6" s="6" t="n">
        <v>1</v>
      </c>
      <c r="B6" s="7" t="inlineStr">
        <is>
          <t>C1</t>
        </is>
      </c>
      <c r="C6" s="8" t="inlineStr">
        <is>
          <t>Crear Managed Identity para el Hub de Foundry y asignarla a los recursos dependientes (Key Vault, Storage, AI Search)</t>
        </is>
      </c>
      <c r="D6" s="9" t="inlineStr">
        <is>
          <t>Config</t>
        </is>
      </c>
      <c r="E6" s="10" t="inlineStr">
        <is>
          <t>Alta</t>
        </is>
      </c>
      <c r="F6" s="11" t="inlineStr">
        <is>
          <t>Pendiente</t>
        </is>
      </c>
      <c r="G6" s="12" t="inlineStr"/>
      <c r="H6" s="12" t="inlineStr"/>
      <c r="I6" s="8" t="inlineStr"/>
    </row>
    <row r="7" ht="40" customHeight="1">
      <c r="A7" s="6" t="n">
        <v>2</v>
      </c>
      <c r="B7" s="7" t="inlineStr">
        <is>
          <t>C1</t>
        </is>
      </c>
      <c r="C7" s="8" t="inlineStr">
        <is>
          <t>Definir y asignar roles RBAC por perfil: Owner (arquitecto), Contributor (desarrollador), Reader (auditor)</t>
        </is>
      </c>
      <c r="D7" s="9" t="inlineStr">
        <is>
          <t>Config</t>
        </is>
      </c>
      <c r="E7" s="10" t="inlineStr">
        <is>
          <t>Alta</t>
        </is>
      </c>
      <c r="F7" s="11" t="inlineStr">
        <is>
          <t>Pendiente</t>
        </is>
      </c>
      <c r="G7" s="12" t="inlineStr"/>
      <c r="H7" s="12" t="inlineStr"/>
      <c r="I7" s="8" t="inlineStr"/>
    </row>
    <row r="8" ht="40" customHeight="1">
      <c r="A8" s="6" t="n">
        <v>3</v>
      </c>
      <c r="B8" s="7" t="inlineStr">
        <is>
          <t>C1</t>
        </is>
      </c>
      <c r="C8" s="8" t="inlineStr">
        <is>
          <t>Configurar Entra ID Workload Identity para autenticación entre servicios Azure sin secretos</t>
        </is>
      </c>
      <c r="D8" s="9" t="inlineStr">
        <is>
          <t>Config</t>
        </is>
      </c>
      <c r="E8" s="10" t="inlineStr">
        <is>
          <t>Alta</t>
        </is>
      </c>
      <c r="F8" s="11" t="inlineStr">
        <is>
          <t>Pendiente</t>
        </is>
      </c>
      <c r="G8" s="12" t="inlineStr"/>
      <c r="H8" s="12" t="inlineStr"/>
      <c r="I8" s="8" t="inlineStr"/>
    </row>
    <row r="9" ht="40" customHeight="1">
      <c r="A9" s="6" t="n">
        <v>4</v>
      </c>
      <c r="B9" s="7" t="inlineStr">
        <is>
          <t>C1</t>
        </is>
      </c>
      <c r="C9" s="8" t="inlineStr">
        <is>
          <t>Deshabilitar autenticación por clave de API; forzar solo autenticación por token Entra ID</t>
        </is>
      </c>
      <c r="D9" s="13" t="inlineStr">
        <is>
          <t>Hardening</t>
        </is>
      </c>
      <c r="E9" s="10" t="inlineStr">
        <is>
          <t>Alta</t>
        </is>
      </c>
      <c r="F9" s="11" t="inlineStr">
        <is>
          <t>Pendiente</t>
        </is>
      </c>
      <c r="G9" s="12" t="inlineStr"/>
      <c r="H9" s="12" t="inlineStr"/>
      <c r="I9" s="8" t="inlineStr"/>
    </row>
    <row r="10" ht="40" customHeight="1">
      <c r="A10" s="6" t="n">
        <v>5</v>
      </c>
      <c r="B10" s="7" t="inlineStr">
        <is>
          <t>C1</t>
        </is>
      </c>
      <c r="C10" s="8" t="inlineStr">
        <is>
          <t>Revisar y documentar permisos vigentes cada sprint (principio de mínimo privilegio)</t>
        </is>
      </c>
      <c r="D10" s="14" t="inlineStr">
        <is>
          <t>Proceso</t>
        </is>
      </c>
      <c r="E10" s="15" t="inlineStr">
        <is>
          <t>Media</t>
        </is>
      </c>
      <c r="F10" s="11" t="inlineStr">
        <is>
          <t>Pendiente</t>
        </is>
      </c>
      <c r="G10" s="12" t="inlineStr"/>
      <c r="H10" s="12" t="inlineStr"/>
      <c r="I10" s="8" t="inlineStr"/>
    </row>
    <row r="11" ht="8" customHeight="1">
      <c r="A11" s="16" t="n"/>
    </row>
    <row r="12" ht="22" customHeight="1">
      <c r="A12" s="17" t="inlineStr">
        <is>
          <t xml:space="preserve">  CAPA 2 — AISLAMIENTO DE RED</t>
        </is>
      </c>
    </row>
    <row r="13" ht="40" customHeight="1">
      <c r="A13" s="18" t="n">
        <v>6</v>
      </c>
      <c r="B13" s="19" t="inlineStr">
        <is>
          <t>C2</t>
        </is>
      </c>
      <c r="C13" s="8" t="inlineStr">
        <is>
          <t>Deshabilitar el acceso público al Hub de AI Foundry desde Internet (Public network access: Disabled)</t>
        </is>
      </c>
      <c r="D13" s="13" t="inlineStr">
        <is>
          <t>Hardening</t>
        </is>
      </c>
      <c r="E13" s="10" t="inlineStr">
        <is>
          <t>Alta</t>
        </is>
      </c>
      <c r="F13" s="11" t="inlineStr">
        <is>
          <t>Pendiente</t>
        </is>
      </c>
      <c r="G13" s="12" t="inlineStr"/>
      <c r="H13" s="12" t="inlineStr"/>
      <c r="I13" s="8" t="inlineStr"/>
    </row>
    <row r="14" ht="40" customHeight="1">
      <c r="A14" s="18" t="n">
        <v>7</v>
      </c>
      <c r="B14" s="19" t="inlineStr">
        <is>
          <t>C2</t>
        </is>
      </c>
      <c r="C14" s="8" t="inlineStr">
        <is>
          <t>Configurar Private Endpoint para el Hub de Foundry dentro de la VNet del proyecto</t>
        </is>
      </c>
      <c r="D14" s="9" t="inlineStr">
        <is>
          <t>Config</t>
        </is>
      </c>
      <c r="E14" s="10" t="inlineStr">
        <is>
          <t>Alta</t>
        </is>
      </c>
      <c r="F14" s="11" t="inlineStr">
        <is>
          <t>Pendiente</t>
        </is>
      </c>
      <c r="G14" s="12" t="inlineStr"/>
      <c r="H14" s="12" t="inlineStr"/>
      <c r="I14" s="8" t="inlineStr"/>
    </row>
    <row r="15" ht="40" customHeight="1">
      <c r="A15" s="18" t="n">
        <v>8</v>
      </c>
      <c r="B15" s="19" t="inlineStr">
        <is>
          <t>C2</t>
        </is>
      </c>
      <c r="C15" s="8" t="inlineStr">
        <is>
          <t>Crear subnet dedicada para Foundry y aplicar NSG con reglas de entrada/salida mínimas necesarias</t>
        </is>
      </c>
      <c r="D15" s="9" t="inlineStr">
        <is>
          <t>Config</t>
        </is>
      </c>
      <c r="E15" s="10" t="inlineStr">
        <is>
          <t>Alta</t>
        </is>
      </c>
      <c r="F15" s="11" t="inlineStr">
        <is>
          <t>Pendiente</t>
        </is>
      </c>
      <c r="G15" s="12" t="inlineStr"/>
      <c r="H15" s="12" t="inlineStr"/>
      <c r="I15" s="8" t="inlineStr"/>
    </row>
    <row r="16" ht="40" customHeight="1">
      <c r="A16" s="18" t="n">
        <v>9</v>
      </c>
      <c r="B16" s="19" t="inlineStr">
        <is>
          <t>C2</t>
        </is>
      </c>
      <c r="C16" s="8" t="inlineStr">
        <is>
          <t>Configurar Private DNS Zone para resolver internamente los endpoints privados del hub</t>
        </is>
      </c>
      <c r="D16" s="9" t="inlineStr">
        <is>
          <t>Config</t>
        </is>
      </c>
      <c r="E16" s="15" t="inlineStr">
        <is>
          <t>Media</t>
        </is>
      </c>
      <c r="F16" s="11" t="inlineStr">
        <is>
          <t>Pendiente</t>
        </is>
      </c>
      <c r="G16" s="12" t="inlineStr"/>
      <c r="H16" s="12" t="inlineStr"/>
      <c r="I16" s="8" t="inlineStr"/>
    </row>
    <row r="17" ht="40" customHeight="1">
      <c r="A17" s="18" t="n">
        <v>10</v>
      </c>
      <c r="B17" s="19" t="inlineStr">
        <is>
          <t>C2</t>
        </is>
      </c>
      <c r="C17" s="8" t="inlineStr">
        <is>
          <t>Validar que todos los servicios dependientes (Storage, Key Vault, AI Search) usen Private Endpoint</t>
        </is>
      </c>
      <c r="D17" s="20" t="inlineStr">
        <is>
          <t>Validación</t>
        </is>
      </c>
      <c r="E17" s="10" t="inlineStr">
        <is>
          <t>Alta</t>
        </is>
      </c>
      <c r="F17" s="11" t="inlineStr">
        <is>
          <t>Pendiente</t>
        </is>
      </c>
      <c r="G17" s="12" t="inlineStr"/>
      <c r="H17" s="12" t="inlineStr"/>
      <c r="I17" s="8" t="inlineStr"/>
    </row>
    <row r="18" ht="8" customHeight="1">
      <c r="A18" s="16" t="n"/>
    </row>
    <row r="19" ht="22" customHeight="1">
      <c r="A19" s="21" t="inlineStr">
        <is>
          <t xml:space="preserve">  CAPA 3 — PROTECCIÓN DE DATOS</t>
        </is>
      </c>
    </row>
    <row r="20" ht="40" customHeight="1">
      <c r="A20" s="22" t="n">
        <v>11</v>
      </c>
      <c r="B20" s="23" t="inlineStr">
        <is>
          <t>C3</t>
        </is>
      </c>
      <c r="C20" s="8" t="inlineStr">
        <is>
          <t>Crear Azure Key Vault dedicado al proyecto y habilitar Customer Managed Keys (CMK) para el Hub</t>
        </is>
      </c>
      <c r="D20" s="9" t="inlineStr">
        <is>
          <t>Config</t>
        </is>
      </c>
      <c r="E20" s="10" t="inlineStr">
        <is>
          <t>Alta</t>
        </is>
      </c>
      <c r="F20" s="11" t="inlineStr">
        <is>
          <t>Pendiente</t>
        </is>
      </c>
      <c r="G20" s="12" t="inlineStr"/>
      <c r="H20" s="12" t="inlineStr"/>
      <c r="I20" s="8" t="inlineStr"/>
    </row>
    <row r="21" ht="40" customHeight="1">
      <c r="A21" s="22" t="n">
        <v>12</v>
      </c>
      <c r="B21" s="23" t="inlineStr">
        <is>
          <t>C3</t>
        </is>
      </c>
      <c r="C21" s="8" t="inlineStr">
        <is>
          <t>Habilitar soft-delete y purge protection en Key Vault para prevenir eliminación accidental de claves</t>
        </is>
      </c>
      <c r="D21" s="13" t="inlineStr">
        <is>
          <t>Hardening</t>
        </is>
      </c>
      <c r="E21" s="10" t="inlineStr">
        <is>
          <t>Alta</t>
        </is>
      </c>
      <c r="F21" s="11" t="inlineStr">
        <is>
          <t>Pendiente</t>
        </is>
      </c>
      <c r="G21" s="12" t="inlineStr"/>
      <c r="H21" s="12" t="inlineStr"/>
      <c r="I21" s="8" t="inlineStr"/>
    </row>
    <row r="22" ht="40" customHeight="1">
      <c r="A22" s="22" t="n">
        <v>13</v>
      </c>
      <c r="B22" s="23" t="inlineStr">
        <is>
          <t>C3</t>
        </is>
      </c>
      <c r="C22" s="8" t="inlineStr">
        <is>
          <t>Definir política de data residency: seleccionar región Azure que cumpla requisitos legales del cliente</t>
        </is>
      </c>
      <c r="D22" s="14" t="inlineStr">
        <is>
          <t>Proceso</t>
        </is>
      </c>
      <c r="E22" s="10" t="inlineStr">
        <is>
          <t>Alta</t>
        </is>
      </c>
      <c r="F22" s="11" t="inlineStr">
        <is>
          <t>Pendiente</t>
        </is>
      </c>
      <c r="G22" s="12" t="inlineStr"/>
      <c r="H22" s="12" t="inlineStr"/>
      <c r="I22" s="8" t="inlineStr"/>
    </row>
    <row r="23" ht="40" customHeight="1">
      <c r="A23" s="22" t="n">
        <v>14</v>
      </c>
      <c r="B23" s="23" t="inlineStr">
        <is>
          <t>C3</t>
        </is>
      </c>
      <c r="C23" s="8" t="inlineStr">
        <is>
          <t>Cifrar el Azure Blob Storage asociado al hub con CMK y validar cifrado en reposo</t>
        </is>
      </c>
      <c r="D23" s="9" t="inlineStr">
        <is>
          <t>Config</t>
        </is>
      </c>
      <c r="E23" s="10" t="inlineStr">
        <is>
          <t>Alta</t>
        </is>
      </c>
      <c r="F23" s="11" t="inlineStr">
        <is>
          <t>Pendiente</t>
        </is>
      </c>
      <c r="G23" s="12" t="inlineStr"/>
      <c r="H23" s="12" t="inlineStr"/>
      <c r="I23" s="8" t="inlineStr"/>
    </row>
    <row r="24" ht="40" customHeight="1">
      <c r="A24" s="22" t="n">
        <v>15</v>
      </c>
      <c r="B24" s="23" t="inlineStr">
        <is>
          <t>C3</t>
        </is>
      </c>
      <c r="C24" s="8" t="inlineStr">
        <is>
          <t>Clasificar tipos de documentos e identificar cuáles contienen datos sensibles (PII, financiero)</t>
        </is>
      </c>
      <c r="D24" s="14" t="inlineStr">
        <is>
          <t>Proceso</t>
        </is>
      </c>
      <c r="E24" s="15" t="inlineStr">
        <is>
          <t>Media</t>
        </is>
      </c>
      <c r="F24" s="11" t="inlineStr">
        <is>
          <t>Pendiente</t>
        </is>
      </c>
      <c r="G24" s="12" t="inlineStr"/>
      <c r="H24" s="12" t="inlineStr"/>
      <c r="I24" s="8" t="inlineStr"/>
    </row>
    <row r="25" ht="8" customHeight="1">
      <c r="A25" s="16" t="n"/>
    </row>
    <row r="26" ht="22" customHeight="1">
      <c r="A26" s="24" t="inlineStr">
        <is>
          <t xml:space="preserve">  CAPA 4 — GOBIERNO DE MODELOS</t>
        </is>
      </c>
    </row>
    <row r="27" ht="40" customHeight="1">
      <c r="A27" s="25" t="n">
        <v>16</v>
      </c>
      <c r="B27" s="26" t="inlineStr">
        <is>
          <t>C4</t>
        </is>
      </c>
      <c r="C27" s="8" t="inlineStr">
        <is>
          <t>Habilitar Azure AI Content Safety y configurar niveles de filtrado por categoría (violencia, odio, sexual, daño)</t>
        </is>
      </c>
      <c r="D27" s="9" t="inlineStr">
        <is>
          <t>Config</t>
        </is>
      </c>
      <c r="E27" s="10" t="inlineStr">
        <is>
          <t>Alta</t>
        </is>
      </c>
      <c r="F27" s="11" t="inlineStr">
        <is>
          <t>Pendiente</t>
        </is>
      </c>
      <c r="G27" s="12" t="inlineStr"/>
      <c r="H27" s="12" t="inlineStr"/>
      <c r="I27" s="8" t="inlineStr"/>
    </row>
    <row r="28" ht="40" customHeight="1">
      <c r="A28" s="25" t="n">
        <v>17</v>
      </c>
      <c r="B28" s="26" t="inlineStr">
        <is>
          <t>C4</t>
        </is>
      </c>
      <c r="C28" s="8" t="inlineStr">
        <is>
          <t>Activar Prompt Shields para protección contra ataques de jailbreak e indirect prompt injection en documentos</t>
        </is>
      </c>
      <c r="D28" s="9" t="inlineStr">
        <is>
          <t>Config</t>
        </is>
      </c>
      <c r="E28" s="10" t="inlineStr">
        <is>
          <t>Alta</t>
        </is>
      </c>
      <c r="F28" s="11" t="inlineStr">
        <is>
          <t>Pendiente</t>
        </is>
      </c>
      <c r="G28" s="12" t="inlineStr"/>
      <c r="H28" s="12" t="inlineStr"/>
      <c r="I28" s="8" t="inlineStr"/>
    </row>
    <row r="29" ht="40" customHeight="1">
      <c r="A29" s="25" t="n">
        <v>18</v>
      </c>
      <c r="B29" s="26" t="inlineStr">
        <is>
          <t>C4</t>
        </is>
      </c>
      <c r="C29" s="8" t="inlineStr">
        <is>
          <t>Configurar Groundedness detection para validar que las respuestas estén fundamentadas en el documento fuente</t>
        </is>
      </c>
      <c r="D29" s="9" t="inlineStr">
        <is>
          <t>Config</t>
        </is>
      </c>
      <c r="E29" s="10" t="inlineStr">
        <is>
          <t>Alta</t>
        </is>
      </c>
      <c r="F29" s="11" t="inlineStr">
        <is>
          <t>Pendiente</t>
        </is>
      </c>
      <c r="G29" s="12" t="inlineStr"/>
      <c r="H29" s="12" t="inlineStr"/>
      <c r="I29" s="8" t="inlineStr"/>
    </row>
    <row r="30" ht="40" customHeight="1">
      <c r="A30" s="25" t="n">
        <v>19</v>
      </c>
      <c r="B30" s="26" t="inlineStr">
        <is>
          <t>C4</t>
        </is>
      </c>
      <c r="C30" s="8" t="inlineStr">
        <is>
          <t>Definir y documentar system prompts seguros con instrucciones de restricción de alcance del modelo</t>
        </is>
      </c>
      <c r="D30" s="14" t="inlineStr">
        <is>
          <t>Proceso</t>
        </is>
      </c>
      <c r="E30" s="15" t="inlineStr">
        <is>
          <t>Media</t>
        </is>
      </c>
      <c r="F30" s="11" t="inlineStr">
        <is>
          <t>Pendiente</t>
        </is>
      </c>
      <c r="G30" s="12" t="inlineStr"/>
      <c r="H30" s="12" t="inlineStr"/>
      <c r="I30" s="8" t="inlineStr"/>
    </row>
    <row r="31" ht="40" customHeight="1">
      <c r="A31" s="25" t="n">
        <v>20</v>
      </c>
      <c r="B31" s="26" t="inlineStr">
        <is>
          <t>C4</t>
        </is>
      </c>
      <c r="C31" s="8" t="inlineStr">
        <is>
          <t>Establecer proceso de revisión humana (human-in-the-loop) para documentos con score de confianza bajo umbral</t>
        </is>
      </c>
      <c r="D31" s="14" t="inlineStr">
        <is>
          <t>Proceso</t>
        </is>
      </c>
      <c r="E31" s="15" t="inlineStr">
        <is>
          <t>Media</t>
        </is>
      </c>
      <c r="F31" s="11" t="inlineStr">
        <is>
          <t>Pendiente</t>
        </is>
      </c>
      <c r="G31" s="12" t="inlineStr"/>
      <c r="H31" s="12" t="inlineStr"/>
      <c r="I31" s="8" t="inlineStr"/>
    </row>
    <row r="32" ht="8" customHeight="1">
      <c r="A32" s="16" t="n"/>
    </row>
    <row r="33" ht="22" customHeight="1">
      <c r="A33" s="27" t="inlineStr">
        <is>
          <t xml:space="preserve">  CAPA 5 — OBSERVABILIDAD</t>
        </is>
      </c>
    </row>
    <row r="34" ht="40" customHeight="1">
      <c r="A34" s="28" t="n">
        <v>21</v>
      </c>
      <c r="B34" s="29" t="inlineStr">
        <is>
          <t>C5</t>
        </is>
      </c>
      <c r="C34" s="8" t="inlineStr">
        <is>
          <t>Habilitar Diagnostic Settings en el Hub de Foundry y enrutar logs a Log Analytics Workspace</t>
        </is>
      </c>
      <c r="D34" s="9" t="inlineStr">
        <is>
          <t>Config</t>
        </is>
      </c>
      <c r="E34" s="10" t="inlineStr">
        <is>
          <t>Alta</t>
        </is>
      </c>
      <c r="F34" s="11" t="inlineStr">
        <is>
          <t>Pendiente</t>
        </is>
      </c>
      <c r="G34" s="12" t="inlineStr"/>
      <c r="H34" s="12" t="inlineStr"/>
      <c r="I34" s="8" t="inlineStr"/>
    </row>
    <row r="35" ht="40" customHeight="1">
      <c r="A35" s="28" t="n">
        <v>22</v>
      </c>
      <c r="B35" s="29" t="inlineStr">
        <is>
          <t>C5</t>
        </is>
      </c>
      <c r="C35" s="8" t="inlineStr">
        <is>
          <t>Configurar Activity Log para registrar todos los cambios de configuración del hub</t>
        </is>
      </c>
      <c r="D35" s="9" t="inlineStr">
        <is>
          <t>Config</t>
        </is>
      </c>
      <c r="E35" s="10" t="inlineStr">
        <is>
          <t>Alta</t>
        </is>
      </c>
      <c r="F35" s="11" t="inlineStr">
        <is>
          <t>Pendiente</t>
        </is>
      </c>
      <c r="G35" s="12" t="inlineStr"/>
      <c r="H35" s="12" t="inlineStr"/>
      <c r="I35" s="8" t="inlineStr"/>
    </row>
    <row r="36" ht="40" customHeight="1">
      <c r="A36" s="28" t="n">
        <v>23</v>
      </c>
      <c r="B36" s="29" t="inlineStr">
        <is>
          <t>C5</t>
        </is>
      </c>
      <c r="C36" s="8" t="inlineStr">
        <is>
          <t>Crear alertas en Azure Monitor: picos de tokens anómalos, errores 401/403, llamadas fuera de horario</t>
        </is>
      </c>
      <c r="D36" s="9" t="inlineStr">
        <is>
          <t>Config</t>
        </is>
      </c>
      <c r="E36" s="10" t="inlineStr">
        <is>
          <t>Alta</t>
        </is>
      </c>
      <c r="F36" s="11" t="inlineStr">
        <is>
          <t>Pendiente</t>
        </is>
      </c>
      <c r="G36" s="12" t="inlineStr"/>
      <c r="H36" s="12" t="inlineStr"/>
      <c r="I36" s="8" t="inlineStr"/>
    </row>
    <row r="37" ht="40" customHeight="1">
      <c r="A37" s="28" t="n">
        <v>24</v>
      </c>
      <c r="B37" s="29" t="inlineStr">
        <is>
          <t>C5</t>
        </is>
      </c>
      <c r="C37" s="8" t="inlineStr">
        <is>
          <t>Implementar Application Insights en las APIs que invocan el modelo para trazabilidad end-to-end</t>
        </is>
      </c>
      <c r="D37" s="9" t="inlineStr">
        <is>
          <t>Config</t>
        </is>
      </c>
      <c r="E37" s="15" t="inlineStr">
        <is>
          <t>Media</t>
        </is>
      </c>
      <c r="F37" s="11" t="inlineStr">
        <is>
          <t>Pendiente</t>
        </is>
      </c>
      <c r="G37" s="12" t="inlineStr"/>
      <c r="H37" s="12" t="inlineStr"/>
      <c r="I37" s="8" t="inlineStr"/>
    </row>
    <row r="38" ht="40" customHeight="1">
      <c r="A38" s="28" t="n">
        <v>25</v>
      </c>
      <c r="B38" s="29" t="inlineStr">
        <is>
          <t>C5</t>
        </is>
      </c>
      <c r="C38" s="8" t="inlineStr">
        <is>
          <t>Definir retención de logs: mínimo 90 días en caliente, 1 año en frío, alineado a política del cliente</t>
        </is>
      </c>
      <c r="D38" s="14" t="inlineStr">
        <is>
          <t>Proceso</t>
        </is>
      </c>
      <c r="E38" s="15" t="inlineStr">
        <is>
          <t>Media</t>
        </is>
      </c>
      <c r="F38" s="11" t="inlineStr">
        <is>
          <t>Pendiente</t>
        </is>
      </c>
      <c r="G38" s="12" t="inlineStr"/>
      <c r="H38" s="12" t="inlineStr"/>
      <c r="I38" s="8" t="inlineStr"/>
    </row>
    <row r="39" ht="8" customHeight="1">
      <c r="A39" s="16" t="n"/>
    </row>
    <row r="40" ht="22" customHeight="1">
      <c r="A40" s="30" t="inlineStr">
        <is>
          <t xml:space="preserve">  CAPA 6 — CUMPLIMIENTO</t>
        </is>
      </c>
    </row>
    <row r="41" ht="40" customHeight="1">
      <c r="A41" s="31" t="n">
        <v>26</v>
      </c>
      <c r="B41" s="32" t="inlineStr">
        <is>
          <t>C6</t>
        </is>
      </c>
      <c r="C41" s="8" t="inlineStr">
        <is>
          <t>Asignar Azure Policy para denegar creación de recursos de AI Foundry sin Private Endpoint habilitado</t>
        </is>
      </c>
      <c r="D41" s="20" t="inlineStr">
        <is>
          <t>Política</t>
        </is>
      </c>
      <c r="E41" s="10" t="inlineStr">
        <is>
          <t>Alta</t>
        </is>
      </c>
      <c r="F41" s="11" t="inlineStr">
        <is>
          <t>Pendiente</t>
        </is>
      </c>
      <c r="G41" s="12" t="inlineStr"/>
      <c r="H41" s="12" t="inlineStr"/>
      <c r="I41" s="8" t="inlineStr"/>
    </row>
    <row r="42" ht="40" customHeight="1">
      <c r="A42" s="31" t="n">
        <v>27</v>
      </c>
      <c r="B42" s="32" t="inlineStr">
        <is>
          <t>C6</t>
        </is>
      </c>
      <c r="C42" s="8" t="inlineStr">
        <is>
          <t>Habilitar Microsoft Defender for Cloud y activar el plan de protección para AI / Cognitive Services</t>
        </is>
      </c>
      <c r="D42" s="9" t="inlineStr">
        <is>
          <t>Config</t>
        </is>
      </c>
      <c r="E42" s="10" t="inlineStr">
        <is>
          <t>Alta</t>
        </is>
      </c>
      <c r="F42" s="11" t="inlineStr">
        <is>
          <t>Pendiente</t>
        </is>
      </c>
      <c r="G42" s="12" t="inlineStr"/>
      <c r="H42" s="12" t="inlineStr"/>
      <c r="I42" s="8" t="inlineStr"/>
    </row>
    <row r="43" ht="40" customHeight="1">
      <c r="A43" s="31" t="n">
        <v>28</v>
      </c>
      <c r="B43" s="32" t="inlineStr">
        <is>
          <t>C6</t>
        </is>
      </c>
      <c r="C43" s="8" t="inlineStr">
        <is>
          <t>Configurar el Responsible AI dashboard en Foundry para monitorear fairness, groundedness y seguridad</t>
        </is>
      </c>
      <c r="D43" s="9" t="inlineStr">
        <is>
          <t>Config</t>
        </is>
      </c>
      <c r="E43" s="15" t="inlineStr">
        <is>
          <t>Media</t>
        </is>
      </c>
      <c r="F43" s="11" t="inlineStr">
        <is>
          <t>Pendiente</t>
        </is>
      </c>
      <c r="G43" s="12" t="inlineStr"/>
      <c r="H43" s="12" t="inlineStr"/>
      <c r="I43" s="8" t="inlineStr"/>
    </row>
    <row r="44" ht="40" customHeight="1">
      <c r="A44" s="31" t="n">
        <v>29</v>
      </c>
      <c r="B44" s="32" t="inlineStr">
        <is>
          <t>C6</t>
        </is>
      </c>
      <c r="C44" s="8" t="inlineStr">
        <is>
          <t>Realizar evaluación de seguridad del modelo (red-teaming básico) antes del go-live con casos de abuso</t>
        </is>
      </c>
      <c r="D44" s="14" t="inlineStr">
        <is>
          <t>Proceso</t>
        </is>
      </c>
      <c r="E44" s="10" t="inlineStr">
        <is>
          <t>Alta</t>
        </is>
      </c>
      <c r="F44" s="11" t="inlineStr">
        <is>
          <t>Pendiente</t>
        </is>
      </c>
      <c r="G44" s="12" t="inlineStr"/>
      <c r="H44" s="12" t="inlineStr"/>
      <c r="I44" s="8" t="inlineStr"/>
    </row>
    <row r="45" ht="40" customHeight="1">
      <c r="A45" s="31" t="n">
        <v>30</v>
      </c>
      <c r="B45" s="32" t="inlineStr">
        <is>
          <t>C6</t>
        </is>
      </c>
      <c r="C45" s="8" t="inlineStr">
        <is>
          <t>Documentar y mantener actualizada la matriz de controles de seguridad de Foundry para auditorías</t>
        </is>
      </c>
      <c r="D45" s="14" t="inlineStr">
        <is>
          <t>Proceso</t>
        </is>
      </c>
      <c r="E45" s="32" t="inlineStr">
        <is>
          <t>Baja</t>
        </is>
      </c>
      <c r="F45" s="11" t="inlineStr">
        <is>
          <t>Pendiente</t>
        </is>
      </c>
      <c r="G45" s="12" t="inlineStr"/>
      <c r="H45" s="12" t="inlineStr"/>
      <c r="I45" s="8" t="inlineStr"/>
    </row>
    <row r="46" ht="8" customHeight="1">
      <c r="A46" s="16" t="n"/>
    </row>
  </sheetData>
  <mergeCells count="15">
    <mergeCell ref="A25:I25"/>
    <mergeCell ref="A2:I2"/>
    <mergeCell ref="A11:I11"/>
    <mergeCell ref="A19:I19"/>
    <mergeCell ref="A33:I33"/>
    <mergeCell ref="A5:I5"/>
    <mergeCell ref="A46:I46"/>
    <mergeCell ref="A32:I32"/>
    <mergeCell ref="A1:I1"/>
    <mergeCell ref="A40:I40"/>
    <mergeCell ref="A18:I18"/>
    <mergeCell ref="A3:I3"/>
    <mergeCell ref="A39:I39"/>
    <mergeCell ref="A12:I12"/>
    <mergeCell ref="A26:I26"/>
  </mergeCells>
  <dataValidations count="1">
    <dataValidation sqref="F6 F7 F8 F9 F10 F13 F14 F15 F16 F17 F20 F21 F22 F23 F24 F27 F28 F29 F30 F31 F34 F35 F36 F37 F38 F41 F42 F43 F44 F45" showDropDown="0" showInputMessage="0" showErrorMessage="0" allowBlank="0" type="list">
      <formula1>"Pendiente,En progreso,Completado,Bloqueado"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 ht="14" customHeight="1">
      <c r="A1" s="33" t="n"/>
    </row>
    <row r="2" ht="36" customHeight="1">
      <c r="A2" s="34" t="inlineStr">
        <is>
          <t>Resumen Ejecutivo — Estado de Seguridad Azure AI Foundry</t>
        </is>
      </c>
    </row>
    <row r="3" ht="18" customHeight="1">
      <c r="A3" s="35" t="inlineStr">
        <is>
          <t>Actualiza el estado en la hoja 'Checklist de Seguridad' — este resumen se calcula automáticamente</t>
        </is>
      </c>
    </row>
    <row r="5" ht="24" customHeight="1">
      <c r="B5" s="36" t="inlineStr">
        <is>
          <t>Capa</t>
        </is>
      </c>
      <c r="C5" s="36" t="inlineStr">
        <is>
          <t>Total</t>
        </is>
      </c>
      <c r="D5" s="36" t="inlineStr">
        <is>
          <t>Pendiente</t>
        </is>
      </c>
      <c r="E5" s="36" t="inlineStr">
        <is>
          <t>En progreso</t>
        </is>
      </c>
      <c r="F5" s="36" t="inlineStr">
        <is>
          <t>Completado</t>
        </is>
      </c>
    </row>
    <row r="6" ht="22" customHeight="1">
      <c r="B6" s="37" t="inlineStr">
        <is>
          <t>Capa 1 — Identidad y acceso</t>
        </is>
      </c>
      <c r="C6" s="38">
        <f>COUNTIF('Checklist de Seguridad'!B:B,"C1")</f>
        <v/>
      </c>
      <c r="D6" s="39">
        <f>COUNTIFS('Checklist de Seguridad'!B:B,"C1",'Checklist de Seguridad'!F:F,"Pendiente")</f>
        <v/>
      </c>
      <c r="E6" s="40">
        <f>COUNTIFS('Checklist de Seguridad'!B:B,"C1",'Checklist de Seguridad'!F:F,"En progreso")</f>
        <v/>
      </c>
      <c r="F6" s="41">
        <f>COUNTIFS('Checklist de Seguridad'!B:B,"C1",'Checklist de Seguridad'!F:F,"Completado")</f>
        <v/>
      </c>
    </row>
    <row r="7" ht="22" customHeight="1">
      <c r="B7" s="42" t="inlineStr">
        <is>
          <t>Capa 2 — Aislamiento de red</t>
        </is>
      </c>
      <c r="C7" s="38">
        <f>COUNTIF('Checklist de Seguridad'!B:B,"C2")</f>
        <v/>
      </c>
      <c r="D7" s="39">
        <f>COUNTIFS('Checklist de Seguridad'!B:B,"C2",'Checklist de Seguridad'!F:F,"Pendiente")</f>
        <v/>
      </c>
      <c r="E7" s="40">
        <f>COUNTIFS('Checklist de Seguridad'!B:B,"C2",'Checklist de Seguridad'!F:F,"En progreso")</f>
        <v/>
      </c>
      <c r="F7" s="41">
        <f>COUNTIFS('Checklist de Seguridad'!B:B,"C2",'Checklist de Seguridad'!F:F,"Completado")</f>
        <v/>
      </c>
    </row>
    <row r="8" ht="22" customHeight="1">
      <c r="B8" s="43" t="inlineStr">
        <is>
          <t>Capa 3 — Protección de datos</t>
        </is>
      </c>
      <c r="C8" s="38">
        <f>COUNTIF('Checklist de Seguridad'!B:B,"C3")</f>
        <v/>
      </c>
      <c r="D8" s="39">
        <f>COUNTIFS('Checklist de Seguridad'!B:B,"C3",'Checklist de Seguridad'!F:F,"Pendiente")</f>
        <v/>
      </c>
      <c r="E8" s="40">
        <f>COUNTIFS('Checklist de Seguridad'!B:B,"C3",'Checklist de Seguridad'!F:F,"En progreso")</f>
        <v/>
      </c>
      <c r="F8" s="41">
        <f>COUNTIFS('Checklist de Seguridad'!B:B,"C3",'Checklist de Seguridad'!F:F,"Completado")</f>
        <v/>
      </c>
    </row>
    <row r="9" ht="22" customHeight="1">
      <c r="B9" s="44" t="inlineStr">
        <is>
          <t>Capa 4 — Gobierno de modelos</t>
        </is>
      </c>
      <c r="C9" s="38">
        <f>COUNTIF('Checklist de Seguridad'!B:B,"C4")</f>
        <v/>
      </c>
      <c r="D9" s="39">
        <f>COUNTIFS('Checklist de Seguridad'!B:B,"C4",'Checklist de Seguridad'!F:F,"Pendiente")</f>
        <v/>
      </c>
      <c r="E9" s="40">
        <f>COUNTIFS('Checklist de Seguridad'!B:B,"C4",'Checklist de Seguridad'!F:F,"En progreso")</f>
        <v/>
      </c>
      <c r="F9" s="41">
        <f>COUNTIFS('Checklist de Seguridad'!B:B,"C4",'Checklist de Seguridad'!F:F,"Completado")</f>
        <v/>
      </c>
    </row>
    <row r="10" ht="22" customHeight="1">
      <c r="B10" s="45" t="inlineStr">
        <is>
          <t>Capa 5 — Observabilidad</t>
        </is>
      </c>
      <c r="C10" s="38">
        <f>COUNTIF('Checklist de Seguridad'!B:B,"C5")</f>
        <v/>
      </c>
      <c r="D10" s="39">
        <f>COUNTIFS('Checklist de Seguridad'!B:B,"C5",'Checklist de Seguridad'!F:F,"Pendiente")</f>
        <v/>
      </c>
      <c r="E10" s="40">
        <f>COUNTIFS('Checklist de Seguridad'!B:B,"C5",'Checklist de Seguridad'!F:F,"En progreso")</f>
        <v/>
      </c>
      <c r="F10" s="41">
        <f>COUNTIFS('Checklist de Seguridad'!B:B,"C5",'Checklist de Seguridad'!F:F,"Completado")</f>
        <v/>
      </c>
    </row>
    <row r="11" ht="22" customHeight="1">
      <c r="B11" s="46" t="inlineStr">
        <is>
          <t>Capa 6 — Cumplimiento</t>
        </is>
      </c>
      <c r="C11" s="38">
        <f>COUNTIF('Checklist de Seguridad'!B:B,"C6")</f>
        <v/>
      </c>
      <c r="D11" s="39">
        <f>COUNTIFS('Checklist de Seguridad'!B:B,"C6",'Checklist de Seguridad'!F:F,"Pendiente")</f>
        <v/>
      </c>
      <c r="E11" s="40">
        <f>COUNTIFS('Checklist de Seguridad'!B:B,"C6",'Checklist de Seguridad'!F:F,"En progreso")</f>
        <v/>
      </c>
      <c r="F11" s="41">
        <f>COUNTIFS('Checklist de Seguridad'!B:B,"C6",'Checklist de Seguridad'!F:F,"Completado")</f>
        <v/>
      </c>
    </row>
    <row r="12" ht="24" customHeight="1">
      <c r="B12" s="47" t="inlineStr">
        <is>
          <t>TOTAL GENERAL</t>
        </is>
      </c>
      <c r="C12" s="36">
        <f>SUM(C6:C11)</f>
        <v/>
      </c>
      <c r="D12" s="36">
        <f>SUM(D6:D11)</f>
        <v/>
      </c>
      <c r="E12" s="36">
        <f>SUM(E6:E11)</f>
        <v/>
      </c>
      <c r="F12" s="36">
        <f>SUM(F6:F11)</f>
        <v/>
      </c>
    </row>
    <row r="14" ht="22" customHeight="1">
      <c r="B14" s="48" t="inlineStr">
        <is>
          <t>% Global completado</t>
        </is>
      </c>
      <c r="D14" s="49">
        <f>IFERROR(F12/C12,0)</f>
        <v/>
      </c>
    </row>
    <row r="16" ht="22" customHeight="1">
      <c r="B16" s="50" t="inlineStr">
        <is>
          <t xml:space="preserve">  Actividades por prioridad</t>
        </is>
      </c>
    </row>
    <row r="17" ht="22" customHeight="1">
      <c r="B17" s="51" t="inlineStr">
        <is>
          <t>Alta</t>
        </is>
      </c>
      <c r="C17" s="52">
        <f>COUNTIF('Checklist de Seguridad'!E:E,"Alta")</f>
        <v/>
      </c>
      <c r="D17" s="53" t="n"/>
    </row>
    <row r="18" ht="22" customHeight="1">
      <c r="B18" s="54" t="inlineStr">
        <is>
          <t>Media</t>
        </is>
      </c>
      <c r="C18" s="40">
        <f>COUNTIF('Checklist de Seguridad'!E:E,"Media")</f>
        <v/>
      </c>
      <c r="D18" s="53" t="n"/>
    </row>
    <row r="19" ht="22" customHeight="1">
      <c r="B19" s="55" t="inlineStr">
        <is>
          <t>Baja</t>
        </is>
      </c>
      <c r="C19" s="56">
        <f>COUNTIF('Checklist de Seguridad'!E:E,"Baja")</f>
        <v/>
      </c>
      <c r="D19" s="53" t="n"/>
    </row>
  </sheetData>
  <mergeCells count="8">
    <mergeCell ref="D19:F19"/>
    <mergeCell ref="A1:G1"/>
    <mergeCell ref="B16:F16"/>
    <mergeCell ref="A3:G3"/>
    <mergeCell ref="D18:F18"/>
    <mergeCell ref="B14:C14"/>
    <mergeCell ref="A2:G2"/>
    <mergeCell ref="D17:F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0" customWidth="1" min="3" max="3"/>
    <col width="3" customWidth="1" min="4" max="4"/>
  </cols>
  <sheetData>
    <row r="1" ht="14" customHeight="1">
      <c r="A1" s="33" t="n"/>
    </row>
    <row r="2" ht="32" customHeight="1">
      <c r="A2" s="34" t="inlineStr">
        <is>
          <t>Leyenda y Guía de Uso</t>
        </is>
      </c>
    </row>
    <row r="4" ht="24" customHeight="1">
      <c r="B4" s="57" t="inlineStr">
        <is>
          <t xml:space="preserve">  TIPOS DE ACTIVIDAD</t>
        </is>
      </c>
    </row>
    <row r="5" ht="20" customHeight="1">
      <c r="B5" s="58" t="inlineStr">
        <is>
          <t>Config</t>
        </is>
      </c>
      <c r="C5" s="59" t="inlineStr">
        <is>
          <t>Configuración directa en Azure Portal o mediante IaC (Bicep/Terraform).</t>
        </is>
      </c>
    </row>
    <row r="6" ht="20" customHeight="1">
      <c r="B6" s="60" t="inlineStr">
        <is>
          <t>Hardening</t>
        </is>
      </c>
      <c r="C6" s="59" t="inlineStr">
        <is>
          <t>Medida de endurecimiento que reduce la superficie de ataque del servicio.</t>
        </is>
      </c>
    </row>
    <row r="7" ht="20" customHeight="1">
      <c r="B7" s="61" t="inlineStr">
        <is>
          <t>Proceso</t>
        </is>
      </c>
      <c r="C7" s="59" t="inlineStr">
        <is>
          <t>Actividad que requiere acción del equipo técnico o validación con el cliente.</t>
        </is>
      </c>
    </row>
    <row r="8" ht="20" customHeight="1">
      <c r="B8" s="62" t="inlineStr">
        <is>
          <t>Política</t>
        </is>
      </c>
      <c r="C8" s="59" t="inlineStr">
        <is>
          <t>Regla de Azure Policy aplicada de forma continua y automática.</t>
        </is>
      </c>
    </row>
    <row r="9" ht="20" customHeight="1">
      <c r="B9" s="62" t="inlineStr">
        <is>
          <t>Validación</t>
        </is>
      </c>
      <c r="C9" s="59" t="inlineStr">
        <is>
          <t>Verificación de que una configuración está correctamente implementada.</t>
        </is>
      </c>
    </row>
    <row r="11" ht="24" customHeight="1">
      <c r="B11" s="57" t="inlineStr">
        <is>
          <t xml:space="preserve">  ESTADOS DISPONIBLES</t>
        </is>
      </c>
    </row>
    <row r="12" ht="20" customHeight="1">
      <c r="B12" s="63" t="inlineStr">
        <is>
          <t>Pendiente</t>
        </is>
      </c>
      <c r="C12" s="59" t="inlineStr">
        <is>
          <t>La actividad aún no ha sido iniciada.</t>
        </is>
      </c>
    </row>
    <row r="13" ht="20" customHeight="1">
      <c r="B13" s="64" t="inlineStr">
        <is>
          <t>En progreso</t>
        </is>
      </c>
      <c r="C13" s="59" t="inlineStr">
        <is>
          <t>La actividad está siendo trabajada actualmente.</t>
        </is>
      </c>
    </row>
    <row r="14" ht="20" customHeight="1">
      <c r="B14" s="65" t="inlineStr">
        <is>
          <t>Completado</t>
        </is>
      </c>
      <c r="C14" s="59" t="inlineStr">
        <is>
          <t>La actividad ha sido implementada y verificada.</t>
        </is>
      </c>
    </row>
    <row r="15" ht="20" customHeight="1">
      <c r="B15" s="60" t="inlineStr">
        <is>
          <t>Bloqueado</t>
        </is>
      </c>
      <c r="C15" s="59" t="inlineStr">
        <is>
          <t>La actividad está detenida por una dependencia externa.</t>
        </is>
      </c>
    </row>
    <row r="17" ht="24" customHeight="1">
      <c r="B17" s="57" t="inlineStr">
        <is>
          <t xml:space="preserve">  PRIORIDADES</t>
        </is>
      </c>
    </row>
    <row r="18" ht="20" customHeight="1">
      <c r="B18" s="60" t="inlineStr">
        <is>
          <t>Alta</t>
        </is>
      </c>
      <c r="C18" s="59" t="inlineStr">
        <is>
          <t>Debe completarse antes del go-live. Impacto crítico en seguridad.</t>
        </is>
      </c>
    </row>
    <row r="19" ht="20" customHeight="1">
      <c r="B19" s="64" t="inlineStr">
        <is>
          <t>Media</t>
        </is>
      </c>
      <c r="C19" s="59" t="inlineStr">
        <is>
          <t>Importante pero puede implementarse en las primeras semanas post-lanzamiento.</t>
        </is>
      </c>
    </row>
    <row r="20" ht="20" customHeight="1">
      <c r="B20" s="61" t="inlineStr">
        <is>
          <t>Baja</t>
        </is>
      </c>
      <c r="C20" s="59" t="inlineStr">
        <is>
          <t>Mejora operativa. Puede planificarse en ciclos de mantenimiento.</t>
        </is>
      </c>
    </row>
    <row r="22" ht="24" customHeight="1">
      <c r="B22" s="50" t="inlineStr">
        <is>
          <t xml:space="preserve">  CÓMO USAR ESTE ARCHIVO</t>
        </is>
      </c>
    </row>
    <row r="23" ht="20" customHeight="1">
      <c r="B23" s="66" t="inlineStr">
        <is>
          <t>1.  Ve a la hoja 'Checklist de Seguridad' y filtra por Capa, Tipo o Prioridad según necesites.</t>
        </is>
      </c>
    </row>
    <row r="24" ht="20" customHeight="1">
      <c r="B24" s="66" t="inlineStr">
        <is>
          <t>2.  Para cada actividad, selecciona el Estado en la columna F usando el menú desplegable.</t>
        </is>
      </c>
    </row>
    <row r="25" ht="20" customHeight="1">
      <c r="B25" s="66" t="inlineStr">
        <is>
          <t>3.  Asigna un Responsable (columna G) y una Fecha límite (columna H).</t>
        </is>
      </c>
    </row>
    <row r="26" ht="20" customHeight="1">
      <c r="B26" s="66" t="inlineStr">
        <is>
          <t>4.  El 'Resumen Ejecutivo' se actualiza automáticamente con los conteos por capa y prioridad.</t>
        </is>
      </c>
    </row>
    <row r="27" ht="20" customHeight="1">
      <c r="B27" s="66" t="inlineStr">
        <is>
          <t>5.  Usa la columna Notas (I) para registrar evidencias, links a recursos de Azure o comentarios.</t>
        </is>
      </c>
    </row>
  </sheetData>
  <mergeCells count="11">
    <mergeCell ref="A1:D1"/>
    <mergeCell ref="B24:C24"/>
    <mergeCell ref="B26:C26"/>
    <mergeCell ref="B11:C11"/>
    <mergeCell ref="B25:C25"/>
    <mergeCell ref="B23:C23"/>
    <mergeCell ref="B22:C22"/>
    <mergeCell ref="A2:D2"/>
    <mergeCell ref="B17:C17"/>
    <mergeCell ref="B27:C27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2026-03-25T22:19:05Z</dcterms:created>
  <dcterms:modified xmlns:dcterms="http://purl.org/dc/terms/" xmlns:xsi="http://www.w3.org/2001/XMLSchema-instance" xsi:type="dcterms:W3CDTF">2026-03-25T22:19:05Z</dcterms:modified>
</cp:coreProperties>
</file>