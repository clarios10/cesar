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Trabajo (Gantt)" sheetId="1" state="visible" r:id="rId3"/>
    <sheet name="Estimación Costos Azure" sheetId="2" state="visible" r:id="rId4"/>
    <sheet name="Propuesta Económica (Servicio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<sst xmlns="http://schemas.openxmlformats.org/spreadsheetml/2006/main" count="353" uniqueCount="284">
  <si>
    <t xml:space="preserve">PLAN DE TRABAJO — IMPLEMENTACIÓN AZURE LANDING ZONE</t>
  </si>
  <si>
    <t xml:space="preserve">[NOMBRE DEL PROVEEDOR]  ·  Institución Financiera  ·  Versión 1.0  ·  Fecha de inicio: Semana del 2 de junio de 2025</t>
  </si>
  <si>
    <t xml:space="preserve">#</t>
  </si>
  <si>
    <t xml:space="preserve">Fase / Actividad</t>
  </si>
  <si>
    <t xml:space="preserve">Responsable</t>
  </si>
  <si>
    <t xml:space="preserve">Inicio
(Sem)</t>
  </si>
  <si>
    <t xml:space="preserve">Duración
(Sem)</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</si>
  <si>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</si>
  <si>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</si>
  <si>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</si>
  <si>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</si>
  <si>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</si>
  <si>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</si>
  <si>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</si>
  <si>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</si>
  <si>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</si>
  <si>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</si>
  <si>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</si>
  <si>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</si>
  <si>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</si>
  <si>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</si>
  <si>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02/06-06/06</t>
  </si>
  <si>
    <t xml:space="preserve">09/06-13/06</t>
  </si>
  <si>
    <t xml:space="preserve">16/06-20/06</t>
  </si>
  <si>
    <t xml:space="preserve">23/06-27/06</t>
  </si>
  <si>
    <t xml:space="preserve">30/06-04/07</t>
  </si>
  <si>
    <t xml:space="preserve">07/07-11/07</t>
  </si>
  <si>
    <t xml:space="preserve">14/07-18/07</t>
  </si>
  <si>
    <t xml:space="preserve">21/07-25/07</t>
  </si>
  <si>
    <t xml:space="preserve">28/07-01/08</t>
  </si>
  <si>
    <t xml:space="preserve">04/08-08/08</t>
  </si>
  <si>
    <t xml:space="preserve">11/08-15/08</t>
  </si>
  <si>
    <t xml:space="preserve">18/08-22/08</t>
  </si>
  <si>
    <t xml:space="preserve">25/08-29/08</t>
  </si>
  <si>
    <t xml:space="preserve">01/09-05/09</t>
  </si>
  <si>
    <t xml:space="preserve">FASE 1 — Discovery &amp; Assessment</t>
  </si>
  <si>
    <t xml:space="preserve">PM + Arquitecto</t>
  </si>
  <si>
    <t xml:space="preserve">    Kick-off y alineación de expectativas</t>
  </si>
  <si>
    <t xml:space="preserve">PM</t>
  </si>
  <si>
    <t xml:space="preserve">    Relevamiento de requerimientos técnicos</t>
  </si>
  <si>
    <t xml:space="preserve">Arquitecto</t>
  </si>
  <si>
    <t xml:space="preserve">    Inventario de activos actuales</t>
  </si>
  <si>
    <t xml:space="preserve">Ing. Red / Seguridad</t>
  </si>
  <si>
    <t xml:space="preserve">    Definición de criterios de gobierno</t>
  </si>
  <si>
    <t xml:space="preserve">    Entregable: Documento de Assessment</t>
  </si>
  <si>
    <t xml:space="preserve">FASE 2 — Diseño de Arquitectura</t>
  </si>
  <si>
    <t xml:space="preserve">Arquitecto + Equipo</t>
  </si>
  <si>
    <t xml:space="preserve">    HLD: Management Groups y Suscripciones</t>
  </si>
  <si>
    <t xml:space="preserve">    LLD: Networking Hub &amp; Spoke</t>
  </si>
  <si>
    <t xml:space="preserve">Ing. Red</t>
  </si>
  <si>
    <t xml:space="preserve">    Modelo de Identidad y RBAC</t>
  </si>
  <si>
    <t xml:space="preserve">Especialista Seg.</t>
  </si>
  <si>
    <t xml:space="preserve">    Matriz de Gobernanza (naming, tagging)</t>
  </si>
  <si>
    <t xml:space="preserve">    Entregable: Documento de Arquitectura</t>
  </si>
  <si>
    <t xml:space="preserve">FASE 3 — Implementación Core (IaC)</t>
  </si>
  <si>
    <t xml:space="preserve">DevOps + Arquitecto</t>
  </si>
  <si>
    <t xml:space="preserve">    Configuración de Management Groups</t>
  </si>
  <si>
    <t xml:space="preserve">DevOps</t>
  </si>
  <si>
    <t xml:space="preserve">    Aprovisionamiento de Suscripciones</t>
  </si>
  <si>
    <t xml:space="preserve">    Despliegue Hub de Red (Firewall, VPN)</t>
  </si>
  <si>
    <t xml:space="preserve">    Integración Entra ID, PIM, RBAC</t>
  </si>
  <si>
    <t xml:space="preserve">    Azure Policy (Enforce) + Blueprints</t>
  </si>
  <si>
    <t xml:space="preserve">    Private Endpoints servicios PaaS</t>
  </si>
  <si>
    <t xml:space="preserve">    Entregable: Módulos IaC + Pipelines</t>
  </si>
  <si>
    <t xml:space="preserve">FASE 4 — Seguridad y Cumplimiento</t>
  </si>
  <si>
    <t xml:space="preserve">    Defender for Cloud (todos los planes)</t>
  </si>
  <si>
    <t xml:space="preserve">    Configuración Microsoft Sentinel</t>
  </si>
  <si>
    <t xml:space="preserve">    CMK + Key Vault + HSM</t>
  </si>
  <si>
    <t xml:space="preserve">    Mapeo de controles CNBV/CUB</t>
  </si>
  <si>
    <t xml:space="preserve">    Entregable: Evidencias Regulatorias</t>
  </si>
  <si>
    <t xml:space="preserve">FASE 5 — Monitoreo y FinOps</t>
  </si>
  <si>
    <t xml:space="preserve">    Log Analytics + Azure Monitor</t>
  </si>
  <si>
    <t xml:space="preserve">    Dashboards y alertas operativas</t>
  </si>
  <si>
    <t xml:space="preserve">    Presupuestos y Budget Alerts</t>
  </si>
  <si>
    <t xml:space="preserve">    Azure Advisor + Políticas FinOps</t>
  </si>
  <si>
    <t xml:space="preserve">FASE 6 — Pruebas y Validación (UAT)</t>
  </si>
  <si>
    <t xml:space="preserve">Arquitecto + PM</t>
  </si>
  <si>
    <t xml:space="preserve">    Pruebas de conectividad y failover</t>
  </si>
  <si>
    <t xml:space="preserve">    Pruebas de seguridad y políticas</t>
  </si>
  <si>
    <t xml:space="preserve">    Prueba de restauración de Backups</t>
  </si>
  <si>
    <t xml:space="preserve">    Sign-off técnico — Acta de Aceptación</t>
  </si>
  <si>
    <t xml:space="preserve">PM + Institución</t>
  </si>
  <si>
    <t xml:space="preserve">FASE 7 — Transferencia de Conocimiento</t>
  </si>
  <si>
    <t xml:space="preserve">    Taller: Operación diaria de la ALZ</t>
  </si>
  <si>
    <t xml:space="preserve">    Taller: Seguridad y Sentinel</t>
  </si>
  <si>
    <t xml:space="preserve">    Entrega de Runbooks y documentación</t>
  </si>
  <si>
    <t xml:space="preserve">    Cierre formal del proyecto</t>
  </si>
  <si>
    <t xml:space="preserve">HITOS CLAVE</t>
  </si>
  <si>
    <t xml:space="preserve">    ★ Diseño aprobado</t>
  </si>
  <si>
    <t xml:space="preserve">Institución</t>
  </si>
  <si>
    <t xml:space="preserve">Hito</t>
  </si>
  <si>
    <t xml:space="preserve">◆</t>
  </si>
  <si>
    <t xml:space="preserve">    ★ LZ Core operativa</t>
  </si>
  <si>
    <t xml:space="preserve">    ★ Seguridad completa</t>
  </si>
  <si>
    <t xml:space="preserve">    ★ UAT superada — Go-Live</t>
  </si>
  <si>
    <t xml:space="preserve">    ★ Cierre y entrega final</t>
  </si>
  <si>
    <t xml:space="preserve">LEYENDA</t>
  </si>
  <si>
    <t xml:space="preserve">Actividad en progreso</t>
  </si>
  <si>
    <t xml:space="preserve">◆  Hito clave</t>
  </si>
  <si>
    <t xml:space="preserve">Fase principal</t>
  </si>
  <si>
    <t xml:space="preserve">Completado (actualizar manualmente)</t>
  </si>
  <si>
    <t xml:space="preserve">📝  Notas: (1) Las semanas son ilustrativas; ajustar fecha de inicio en la propuesta. (2) Actualizar columna 'Responsable' con nombres reales del equipo asignado. (3) Marcar celdas en verde cuando la actividad esté completada.</t>
  </si>
  <si>
    <t xml:space="preserve">ESTIMACIÓN DE COSTOS — MICROSOFT AZURE LANDING ZONE</t>
  </si>
  <si>
    <t xml:space="preserve">Región: Mexico Central  ·  Escenario: Mediano (20–60 VMs + PaaS)  ·  Tipo de cambio referencia: 1 USD = 17.00 MXN  ·  Precios: Lista Azure Marzo 2025  ·  Modalidad: Pay-as-you-go (base) con oportunidad de Reserved Instances</t>
  </si>
  <si>
    <t xml:space="preserve">⚙️  SUPUESTOS BASE</t>
  </si>
  <si>
    <t xml:space="preserve">VMs pre-prod (lift &amp; shift)</t>
  </si>
  <si>
    <t xml:space="preserve">20–40 VMs</t>
  </si>
  <si>
    <t xml:space="preserve">Série D/E, Standard_D4s_v5 promedio</t>
  </si>
  <si>
    <t xml:space="preserve">VMs prod (nuevas cargas)</t>
  </si>
  <si>
    <t xml:space="preserve">10–20 VMs</t>
  </si>
  <si>
    <t xml:space="preserve">Série D/E con Reserved Instances 1 año</t>
  </si>
  <si>
    <t xml:space="preserve">Almacenamiento promedio/VM</t>
  </si>
  <si>
    <t xml:space="preserve">256 GB SSD</t>
  </si>
  <si>
    <t xml:space="preserve">Premium SSD LRS</t>
  </si>
  <si>
    <t xml:space="preserve">Tráfico de salida estimado</t>
  </si>
  <si>
    <t xml:space="preserve">2 TB/mes</t>
  </si>
  <si>
    <t xml:space="preserve">Egress hacia internet desde Mexico Central</t>
  </si>
  <si>
    <t xml:space="preserve">Retención de logs</t>
  </si>
  <si>
    <t xml:space="preserve">90 días</t>
  </si>
  <si>
    <t xml:space="preserve">Log Analytics Workspace</t>
  </si>
  <si>
    <t xml:space="preserve">Región principal</t>
  </si>
  <si>
    <t xml:space="preserve">Mexico Central (eastus2 equiv.)</t>
  </si>
  <si>
    <t xml:space="preserve">Todos los servicios</t>
  </si>
  <si>
    <t xml:space="preserve">Tipo de cambio</t>
  </si>
  <si>
    <t xml:space="preserve">17.00 MXN/USD</t>
  </si>
  <si>
    <t xml:space="preserve">Referencia al momento de la propuesta</t>
  </si>
  <si>
    <t xml:space="preserve">Servicio Azure</t>
  </si>
  <si>
    <t xml:space="preserve">SKU / Configuración</t>
  </si>
  <si>
    <t xml:space="preserve">Unidad</t>
  </si>
  <si>
    <t xml:space="preserve">Cantidad</t>
  </si>
  <si>
    <t xml:space="preserve">Costo Unit. (USD/mes)</t>
  </si>
  <si>
    <t xml:space="preserve">Costo Total (USD/mes)</t>
  </si>
  <si>
    <t xml:space="preserve">Costo Total (MXN/mes)</t>
  </si>
  <si>
    <t xml:space="preserve">Notas</t>
  </si>
  <si>
    <t xml:space="preserve">🌐  NETWORKING &amp; CONECTIVIDAD</t>
  </si>
  <si>
    <t xml:space="preserve">Azure Firewall Premium</t>
  </si>
  <si>
    <t xml:space="preserve">Firewall Premium — Hub VNet</t>
  </si>
  <si>
    <t xml:space="preserve">Instancia/mes</t>
  </si>
  <si>
    <t xml:space="preserve">Incluye IDPS, TLS inspection — requerido por CNBV</t>
  </si>
  <si>
    <t xml:space="preserve">VPN Gateway</t>
  </si>
  <si>
    <t xml:space="preserve">VpnGw2 (activo-activo, IKEv2)</t>
  </si>
  <si>
    <t xml:space="preserve">Conectividad híbrida on-prem</t>
  </si>
  <si>
    <t xml:space="preserve">Virtual Network (Hub)</t>
  </si>
  <si>
    <t xml:space="preserve">Hub Central — 3 VNets spoke</t>
  </si>
  <si>
    <t xml:space="preserve">VNet peering/mes</t>
  </si>
  <si>
    <t xml:space="preserve">Peering bidireccional; 6 pares</t>
  </si>
  <si>
    <t xml:space="preserve">Azure DNS Privado</t>
  </si>
  <si>
    <t xml:space="preserve">Private DNS Zones (10 zonas)</t>
  </si>
  <si>
    <t xml:space="preserve">Zona/mes</t>
  </si>
  <si>
    <t xml:space="preserve">Resolución privada para PaaS</t>
  </si>
  <si>
    <t xml:space="preserve">Private Endpoints</t>
  </si>
  <si>
    <t xml:space="preserve">Aprox. 30 endpoints PaaS</t>
  </si>
  <si>
    <t xml:space="preserve">Endpoint/mes</t>
  </si>
  <si>
    <t xml:space="preserve">Storage, SQL, Key Vault, ACR…</t>
  </si>
  <si>
    <t xml:space="preserve">Tráfico de salida (egress)</t>
  </si>
  <si>
    <t xml:space="preserve">2 TB/mes Mexico Central</t>
  </si>
  <si>
    <t xml:space="preserve">GB/mes</t>
  </si>
  <si>
    <t xml:space="preserve">Primeros 10 GB gratis</t>
  </si>
  <si>
    <t xml:space="preserve">💻  CÓMPUTO (VMs)</t>
  </si>
  <si>
    <t xml:space="preserve">VMs Pre-Prod (lift &amp; shift)</t>
  </si>
  <si>
    <t xml:space="preserve">Standard_D4s_v5 (4vCPU/16GB)</t>
  </si>
  <si>
    <t xml:space="preserve">VM/mes</t>
  </si>
  <si>
    <t xml:space="preserve">PAYG; apagado automático fuera de horario</t>
  </si>
  <si>
    <t xml:space="preserve">VMs Producción</t>
  </si>
  <si>
    <t xml:space="preserve">Standard_D4s_v5 Reserved 1yr</t>
  </si>
  <si>
    <t xml:space="preserve">Reserved Instance 1 año (~35% descuento)</t>
  </si>
  <si>
    <t xml:space="preserve">Discos Premium SSD P15 (256GB)</t>
  </si>
  <si>
    <t xml:space="preserve">Disco/mes</t>
  </si>
  <si>
    <t xml:space="preserve">1 disco OS + datos por VM aprox.</t>
  </si>
  <si>
    <t xml:space="preserve">🔑  IDENTIDAD &amp; ACCESO</t>
  </si>
  <si>
    <t xml:space="preserve">Entra ID P2</t>
  </si>
  <si>
    <t xml:space="preserve">P2 por usuario (PIM + Conditional)</t>
  </si>
  <si>
    <t xml:space="preserve">Usuario/mes</t>
  </si>
  <si>
    <t xml:space="preserve">Para admins y usuarios privilegiados</t>
  </si>
  <si>
    <t xml:space="preserve">Azure Bastion Standard</t>
  </si>
  <si>
    <t xml:space="preserve">Acceso seguro RDP/SSH sin IP pública</t>
  </si>
  <si>
    <t xml:space="preserve">Reemplaza Jump Servers expuestos</t>
  </si>
  <si>
    <t xml:space="preserve">🔒  SEGURIDAD &amp; CUMPLIMIENTO</t>
  </si>
  <si>
    <t xml:space="preserve">Defender for Servers P2</t>
  </si>
  <si>
    <t xml:space="preserve">Plan 2 — MDE + VA + JIT</t>
  </si>
  <si>
    <t xml:space="preserve">Servidor/mes</t>
  </si>
  <si>
    <t xml:space="preserve">Protección avanzada para todas las VMs</t>
  </si>
  <si>
    <t xml:space="preserve">Defender for Storage</t>
  </si>
  <si>
    <t xml:space="preserve">Plan estándar por cuenta</t>
  </si>
  <si>
    <t xml:space="preserve">Cuenta/mes</t>
  </si>
  <si>
    <t xml:space="preserve">Detección de amenazas en Storage Accounts</t>
  </si>
  <si>
    <t xml:space="preserve">Defender for SQL</t>
  </si>
  <si>
    <t xml:space="preserve">Azure SQL Databases</t>
  </si>
  <si>
    <t xml:space="preserve">Auditoría avanzada y detección de amenazas</t>
  </si>
  <si>
    <t xml:space="preserve">Defender for Key Vault</t>
  </si>
  <si>
    <t xml:space="preserve">Protección de secretos</t>
  </si>
  <si>
    <t xml:space="preserve">Bóveda/mes</t>
  </si>
  <si>
    <t xml:space="preserve">Por 10,000 operaciones</t>
  </si>
  <si>
    <t xml:space="preserve">Key Vault Premium (HSM)</t>
  </si>
  <si>
    <t xml:space="preserve">10 claves CMK — HSM-backed</t>
  </si>
  <si>
    <t xml:space="preserve">Operaciones/mes</t>
  </si>
  <si>
    <t xml:space="preserve">CMK para cifrado de datos regulados</t>
  </si>
  <si>
    <t xml:space="preserve">Microsoft Sentinel</t>
  </si>
  <si>
    <t xml:space="preserve">Ingestión ~10 GB/día</t>
  </si>
  <si>
    <t xml:space="preserve">GB ingestado/mes</t>
  </si>
  <si>
    <t xml:space="preserve">SIEM/SOAR — reglas analíticas base</t>
  </si>
  <si>
    <t xml:space="preserve">📊  MONITOREO &amp; OPERACIONES</t>
  </si>
  <si>
    <t xml:space="preserve">10 GB/día · retención 90 días</t>
  </si>
  <si>
    <t xml:space="preserve">Fuente central para Sentinel y Monitor</t>
  </si>
  <si>
    <t xml:space="preserve">Azure Monitor — Alertas</t>
  </si>
  <si>
    <t xml:space="preserve">~200 reglas de alerta activas</t>
  </si>
  <si>
    <t xml:space="preserve">Regla/mes</t>
  </si>
  <si>
    <t xml:space="preserve">Alertas métricas y log</t>
  </si>
  <si>
    <t xml:space="preserve">Azure Backup (VMs)</t>
  </si>
  <si>
    <t xml:space="preserve">30 VMs · 256 GB prom. · LRS</t>
  </si>
  <si>
    <t xml:space="preserve">Policy: diario 30d + semanal 1año</t>
  </si>
  <si>
    <t xml:space="preserve">Azure Site Recovery</t>
  </si>
  <si>
    <t xml:space="preserve">10 VMs críticas — DR</t>
  </si>
  <si>
    <t xml:space="preserve">RTO/RPO para cargas reguladas</t>
  </si>
  <si>
    <t xml:space="preserve">⚙️  PLATAFORMA &amp; GOBIERNO</t>
  </si>
  <si>
    <t xml:space="preserve">Storage Accounts (diagnóstico)</t>
  </si>
  <si>
    <t xml:space="preserve">LRS — logs y diagnósticos</t>
  </si>
  <si>
    <t xml:space="preserve">Diagnostic Settings de todos los recursos</t>
  </si>
  <si>
    <t xml:space="preserve">Azure Policy (integrado)</t>
  </si>
  <si>
    <t xml:space="preserve">Incluido en suscripción</t>
  </si>
  <si>
    <t xml:space="preserve">Incluido</t>
  </si>
  <si>
    <t xml:space="preserve">Sin costo adicional</t>
  </si>
  <si>
    <t xml:space="preserve">Management Groups</t>
  </si>
  <si>
    <t xml:space="preserve">Automation Account</t>
  </si>
  <si>
    <t xml:space="preserve">Apagado VMs + Runbooks base</t>
  </si>
  <si>
    <t xml:space="preserve">Minuto proceso</t>
  </si>
  <si>
    <t xml:space="preserve">Automatización operativa</t>
  </si>
  <si>
    <t xml:space="preserve">☁️  PaaS — SERVICIOS BASE</t>
  </si>
  <si>
    <t xml:space="preserve">Azure Container Registry</t>
  </si>
  <si>
    <t xml:space="preserve">Standard tier — imágenes base</t>
  </si>
  <si>
    <t xml:space="preserve">Para cargas cloud-native</t>
  </si>
  <si>
    <t xml:space="preserve">Azure App Service Plan P2v3</t>
  </si>
  <si>
    <t xml:space="preserve">2 planes (prod + pre-prod)</t>
  </si>
  <si>
    <t xml:space="preserve">Plan/mes</t>
  </si>
  <si>
    <t xml:space="preserve">Hosting PaaS para aplicaciones</t>
  </si>
  <si>
    <t xml:space="preserve">Azure SQL Database (General Purpose)</t>
  </si>
  <si>
    <t xml:space="preserve">2 vCore · 32 GB · LRS</t>
  </si>
  <si>
    <t xml:space="preserve">Base/mes</t>
  </si>
  <si>
    <t xml:space="preserve">Bases de datos relacionales PaaS</t>
  </si>
  <si>
    <t xml:space="preserve">Azure Cache for Redis C1</t>
  </si>
  <si>
    <t xml:space="preserve">1 instancia — caché sesiones</t>
  </si>
  <si>
    <t xml:space="preserve">Performance de aplicaciones</t>
  </si>
  <si>
    <t xml:space="preserve">SUBTOTAL SERVICIOS AZURE (pay-as-you-go mensual)</t>
  </si>
  <si>
    <t xml:space="preserve">(-) Ahorro estimado Reserved Instances 1 año (VMs prod ~35%)</t>
  </si>
  <si>
    <t xml:space="preserve">✅  TOTAL ESTIMADO MENSUAL (con Reserved Instances)</t>
  </si>
  <si>
    <t xml:space="preserve">PROYECCIÓN ANUAL (x12 meses)</t>
  </si>
  <si>
    <t xml:space="preserve">⚠️  IMPORTANTE: Esta estimación es referencial y se basa en precios de lista de Azure para la región Mexico Central a marzo 2025. Los costos reales dependerán del consumo efectivo, negociación de descuentos con Microsoft, tipo de cambio vigente y el inventario final de servicios. Se recomienda validar con la Calculadora de Precios oficial de Azure (https://azure.microsoft.com/es-mx/pricing/calculator/) y complementar con los Azure Credits que puedan aplicar al convenio con el proveedor. Esta estimación NO incluye licencias de software de terceros ni el costo de los servicios de implementación del proveedor.</t>
  </si>
  <si>
    <t xml:space="preserve">RESUMEN POR CATEGORÍA (USD/mes estimado)</t>
  </si>
  <si>
    <t xml:space="preserve">🌐 Networking &amp; Conectividad</t>
  </si>
  <si>
    <t xml:space="preserve">💻 Cómputo (VMs + Discos)</t>
  </si>
  <si>
    <t xml:space="preserve">🔑 Identidad &amp; Acceso</t>
  </si>
  <si>
    <t xml:space="preserve">🔒 Seguridad &amp; Cumplimiento</t>
  </si>
  <si>
    <t xml:space="preserve">📊 Monitoreo &amp; Operaciones</t>
  </si>
  <si>
    <t xml:space="preserve">⚙️ Plataforma &amp; Gobierno</t>
  </si>
  <si>
    <t xml:space="preserve">☁️ PaaS — Servicios Base</t>
  </si>
  <si>
    <t xml:space="preserve">TOTAL BASE (PAYG, sin RI)</t>
  </si>
  <si>
    <t xml:space="preserve">PROPUESTA ECONÓMICA — SERVICIOS DE IMPLEMENTACIÓN Y SOPORTE</t>
  </si>
  <si>
    <t xml:space="preserve">[NOMBRE DEL PROVEEDOR]  ·  Precios en MXN con IVA desglosado  ·  Válido 30 días</t>
  </si>
  <si>
    <t xml:space="preserve">Servicio / Entregable</t>
  </si>
  <si>
    <t xml:space="preserve">Perfil Responsable</t>
  </si>
  <si>
    <t xml:space="preserve">Días Est.</t>
  </si>
  <si>
    <t xml:space="preserve">Tarifa Día (MXN)</t>
  </si>
  <si>
    <t xml:space="preserve">Subtotal (MXN)</t>
  </si>
  <si>
    <t xml:space="preserve">IVA 16% (MXN)</t>
  </si>
  <si>
    <t xml:space="preserve">Total c/IVA (MXN)</t>
  </si>
  <si>
    <t xml:space="preserve">Kick-off, relevamiento y documento de assessment</t>
  </si>
  <si>
    <t xml:space="preserve">HLD/LLD, modelo de identidad y matriz de gobernanza</t>
  </si>
  <si>
    <t xml:space="preserve">Arquitecto Principal</t>
  </si>
  <si>
    <t xml:space="preserve">FASE 3 — Implementación Core IaC</t>
  </si>
  <si>
    <t xml:space="preserve">Despliegue MGs, suscripciones, red, identidad, políticas</t>
  </si>
  <si>
    <t xml:space="preserve">DevOps + Ing. Red</t>
  </si>
  <si>
    <t xml:space="preserve">Defender, Sentinel, CMK, mapeo CNBV/CUB</t>
  </si>
  <si>
    <t xml:space="preserve">Especialista Seguridad</t>
  </si>
  <si>
    <t xml:space="preserve">Log Analytics, dashboards, alertas, presupuestos</t>
  </si>
  <si>
    <t xml:space="preserve">Pruebas integrales, remediation, sign-off</t>
  </si>
  <si>
    <t xml:space="preserve">Talleres, runbooks, documentación final</t>
  </si>
  <si>
    <t xml:space="preserve">GESTIÓN DE PROYECTO (transversal)</t>
  </si>
  <si>
    <t xml:space="preserve">Gestión de proyecto, comunicación y reportes (12 semanas)</t>
  </si>
  <si>
    <t xml:space="preserve">PM Dedicado</t>
  </si>
  <si>
    <t xml:space="preserve">SOPORTE POST-IMPLEMENTACIÓN</t>
  </si>
  <si>
    <t xml:space="preserve">Soporte 3 meses post-go-live (banco de horas 80 hrs)</t>
  </si>
  <si>
    <t xml:space="preserve">Equipo mixto</t>
  </si>
  <si>
    <t xml:space="preserve">TOTAL SERVICIOS DE IMPLEMENTACIÓN (sin IVA)</t>
  </si>
  <si>
    <t xml:space="preserve">📝  Notas: (1) Tarifas diarias en MXN — ajustar con valores reales de la empresa. (2) Número de días estimado — sujeto a confirmación en kick-off. (3) IVA del 16% aplicado sobre subtotal. (4) Esta tabla es el insumo para la Propuesta Económica (sobre sellado a Compras).</t>
  </si>
</sst>
</file>

<file path=xl/styles.xml><?xml version="1.0" encoding="utf-8"?>
<styleSheet xmlns="http://schemas.openxmlformats.org/spreadsheetml/2006/main">
  <numFmts count="3">
    <numFmt numFmtId="164" formatCode="General"/>
    <numFmt numFmtId="165" formatCode="\$#,##0.00"/>
    <numFmt numFmtId="166" formatCode="\$#,##0"/>
  </numFmts>
  <fonts count="2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9"/>
      <color rgb="FFFFFFFF"/>
      <name val="Arial"/>
      <family val="0"/>
      <charset val="1"/>
    </font>
    <font>
      <b val="true"/>
      <sz val="8"/>
      <color rgb="FFFFFFFF"/>
      <name val="Arial"/>
      <family val="0"/>
      <charset val="1"/>
    </font>
    <font>
      <sz val="7"/>
      <color rgb="FF595959"/>
      <name val="Arial"/>
      <family val="0"/>
      <charset val="1"/>
    </font>
    <font>
      <sz val="8"/>
      <color rgb="FFFFFFFF"/>
      <name val="Arial"/>
      <family val="0"/>
      <charset val="1"/>
    </font>
    <font>
      <sz val="8"/>
      <color rgb="FF595959"/>
      <name val="Arial"/>
      <family val="0"/>
      <charset val="1"/>
    </font>
    <font>
      <sz val="8"/>
      <color rgb="FF000000"/>
      <name val="Arial"/>
      <family val="0"/>
      <charset val="1"/>
    </font>
    <font>
      <b val="true"/>
      <sz val="10"/>
      <color rgb="FFFF9900"/>
      <name val="Arial"/>
      <family val="0"/>
      <charset val="1"/>
    </font>
    <font>
      <i val="true"/>
      <sz val="8"/>
      <color rgb="FF595959"/>
      <name val="Arial"/>
      <family val="0"/>
      <charset val="1"/>
    </font>
    <font>
      <i val="true"/>
      <sz val="8"/>
      <color rgb="FFFFFFFF"/>
      <name val="Arial"/>
      <family val="0"/>
      <charset val="1"/>
    </font>
    <font>
      <b val="true"/>
      <sz val="10"/>
      <color rgb="FF1F3864"/>
      <name val="Arial"/>
      <family val="0"/>
      <charset val="1"/>
    </font>
    <font>
      <b val="true"/>
      <sz val="9"/>
      <color rgb="FF000000"/>
      <name val="Arial"/>
      <family val="0"/>
      <charset val="1"/>
    </font>
    <font>
      <b val="true"/>
      <sz val="9"/>
      <color rgb="FF1F3864"/>
      <name val="Arial"/>
      <family val="0"/>
      <charset val="1"/>
    </font>
    <font>
      <b val="true"/>
      <sz val="10"/>
      <color rgb="FFFFFFFF"/>
      <name val="Arial"/>
      <family val="0"/>
      <charset val="1"/>
    </font>
    <font>
      <sz val="9"/>
      <color rgb="FF000000"/>
      <name val="Arial"/>
      <family val="0"/>
      <charset val="1"/>
    </font>
    <font>
      <b val="true"/>
      <sz val="11"/>
      <color rgb="FFFFFFFF"/>
      <name val="Arial"/>
      <family val="0"/>
      <charset val="1"/>
    </font>
    <font>
      <b val="true"/>
      <sz val="9"/>
      <color rgb="FF375623"/>
      <name val="Arial"/>
      <family val="0"/>
      <charset val="1"/>
    </font>
    <font>
      <b val="true"/>
      <sz val="10"/>
      <color rgb="FF375623"/>
      <name val="Arial"/>
      <family val="0"/>
      <charset val="1"/>
    </font>
    <font>
      <b val="true"/>
      <sz val="12"/>
      <color rgb="FFFFFFFF"/>
      <name val="Arial"/>
      <family val="0"/>
      <charset val="1"/>
    </font>
    <font>
      <b val="true"/>
      <sz val="11"/>
      <color rgb="FF1F3864"/>
      <name val="Arial"/>
      <family val="0"/>
      <charset val="1"/>
    </font>
    <font>
      <i val="true"/>
      <sz val="8"/>
      <color rgb="FF5D4037"/>
      <name val="Arial"/>
      <family val="0"/>
      <charset val="1"/>
    </font>
    <font>
      <b val="true"/>
      <sz val="13"/>
      <color rgb="FFFFFFFF"/>
      <name val="Arial"/>
      <family val="0"/>
      <charset val="1"/>
    </font>
    <font>
      <sz val="9"/>
      <color rgb="FF595959"/>
      <name val="Arial"/>
      <family val="0"/>
      <charset val="1"/>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EEAF1"/>
        <bgColor rgb="FFE2EFDA"/>
      </patternFill>
    </fill>
    <fill>
      <patternFill patternType="solid">
        <fgColor rgb="FFF2F2F2"/>
        <bgColor rgb="FFE2EFDA"/>
      </patternFill>
    </fill>
    <fill>
      <patternFill patternType="solid">
        <fgColor rgb="FFFFFFFF"/>
        <bgColor rgb="FFF2F2F2"/>
      </patternFill>
    </fill>
    <fill>
      <patternFill patternType="solid">
        <fgColor rgb="FFFFF2CC"/>
        <bgColor rgb="FFFFF9C4"/>
      </patternFill>
    </fill>
    <fill>
      <patternFill patternType="solid">
        <fgColor rgb="FF595959"/>
        <bgColor rgb="FF5D4037"/>
      </patternFill>
    </fill>
    <fill>
      <patternFill patternType="solid">
        <fgColor rgb="FFE2EFDA"/>
        <bgColor rgb="FFDEEAF1"/>
      </patternFill>
    </fill>
    <fill>
      <patternFill patternType="solid">
        <fgColor rgb="FF70AD47"/>
        <bgColor rgb="FF999999"/>
      </patternFill>
    </fill>
    <fill>
      <patternFill patternType="solid">
        <fgColor rgb="FFFFF9C4"/>
        <bgColor rgb="FFFFF2CC"/>
      </patternFill>
    </fill>
  </fills>
  <borders count="17">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hair">
        <color rgb="FFCCCCCC"/>
      </left>
      <right style="hair">
        <color rgb="FFCCCCCC"/>
      </right>
      <top style="hair">
        <color rgb="FFCCCCCC"/>
      </top>
      <bottom style="hair">
        <color rgb="FFCCCCCC"/>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1F3864"/>
      </left>
      <right/>
      <top style="thin">
        <color rgb="FF1F3864"/>
      </top>
      <bottom style="thin">
        <color rgb="FF1F3864"/>
      </bottom>
      <diagonal/>
    </border>
    <border diagonalUp="false" diagonalDown="false">
      <left style="medium">
        <color rgb="FF1F3864"/>
      </left>
      <right/>
      <top style="medium">
        <color rgb="FF1F3864"/>
      </top>
      <bottom style="medium">
        <color rgb="FF1F3864"/>
      </bottom>
      <diagonal/>
    </border>
    <border diagonalUp="false" diagonalDown="false">
      <left style="medium">
        <color rgb="FF1F3864"/>
      </left>
      <right style="medium">
        <color rgb="FF1F3864"/>
      </right>
      <top style="medium">
        <color rgb="FF1F3864"/>
      </top>
      <bottom style="medium">
        <color rgb="FF1F3864"/>
      </bottom>
      <diagonal/>
    </border>
    <border diagonalUp="false" diagonalDown="false">
      <left style="thin">
        <color rgb="FF999999"/>
      </left>
      <right/>
      <top style="thin">
        <color rgb="FF999999"/>
      </top>
      <bottom style="thin">
        <color rgb="FF999999"/>
      </bottom>
      <diagonal/>
    </border>
    <border diagonalUp="false" diagonalDown="false">
      <left style="medium">
        <color rgb="FF375623"/>
      </left>
      <right/>
      <top style="medium">
        <color rgb="FF375623"/>
      </top>
      <bottom style="medium">
        <color rgb="FF375623"/>
      </bottom>
      <diagonal/>
    </border>
    <border diagonalUp="false" diagonalDown="false">
      <left style="medium">
        <color rgb="FF375623"/>
      </left>
      <right style="medium">
        <color rgb="FF375623"/>
      </right>
      <top style="medium">
        <color rgb="FF375623"/>
      </top>
      <bottom style="medium">
        <color rgb="FF375623"/>
      </bottom>
      <diagonal/>
    </border>
    <border diagonalUp="false" diagonalDown="false">
      <left style="thin">
        <color rgb="FF2E75B6"/>
      </left>
      <right/>
      <top style="thin">
        <color rgb="FF2E75B6"/>
      </top>
      <bottom style="thin">
        <color rgb="FF2E75B6"/>
      </bottom>
      <diagonal/>
    </border>
    <border diagonalUp="false" diagonalDown="false">
      <left style="thin">
        <color rgb="FF2E75B6"/>
      </left>
      <right style="thin">
        <color rgb="FF2E75B6"/>
      </right>
      <top style="thin">
        <color rgb="FF2E75B6"/>
      </top>
      <bottom style="thin">
        <color rgb="FF2E75B6"/>
      </bottom>
      <diagonal/>
    </border>
    <border diagonalUp="false" diagonalDown="false">
      <left style="medium">
        <color rgb="FFF9A825"/>
      </left>
      <right/>
      <top style="medium">
        <color rgb="FFF9A825"/>
      </top>
      <bottom style="medium">
        <color rgb="FFF9A825"/>
      </bottom>
      <diagonal/>
    </border>
    <border diagonalUp="false" diagonalDown="false">
      <left style="thin">
        <color rgb="FF1F3864"/>
      </left>
      <right style="thin">
        <color rgb="FF1F3864"/>
      </right>
      <top style="thin">
        <color rgb="FF1F3864"/>
      </top>
      <bottom style="thin">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center" vertical="center"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11" fillId="6"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1" fillId="6" borderId="2" xfId="0" applyFont="true" applyBorder="true" applyAlignment="true" applyProtection="false">
      <alignment horizontal="center" vertical="center"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12" fillId="7" borderId="3"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center" vertical="center" textRotation="0" wrapText="false" indent="0" shrinkToFit="false"/>
      <protection locked="true" hidden="false"/>
    </xf>
    <xf numFmtId="164" fontId="0" fillId="3" borderId="4"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0" fillId="7" borderId="4" xfId="0" applyFont="false" applyBorder="true" applyAlignment="false" applyProtection="false">
      <alignment horizontal="general" vertical="bottom" textRotation="0" wrapText="false" indent="0" shrinkToFit="false"/>
      <protection locked="true" hidden="false"/>
    </xf>
    <xf numFmtId="164" fontId="0" fillId="9" borderId="4" xfId="0" applyFont="false" applyBorder="true" applyAlignment="false" applyProtection="false">
      <alignment horizontal="general" vertical="bottom" textRotation="0" wrapText="false" indent="0" shrinkToFit="false"/>
      <protection locked="true" hidden="false"/>
    </xf>
    <xf numFmtId="164" fontId="13" fillId="7" borderId="0" xfId="0" applyFont="true" applyBorder="true" applyAlignment="true" applyProtection="false">
      <alignment horizontal="left" vertical="center" textRotation="0" wrapText="true" indent="0" shrinkToFit="false"/>
      <protection locked="true" hidden="false"/>
    </xf>
    <xf numFmtId="164" fontId="14" fillId="3"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left" vertical="center" textRotation="0" wrapText="false" indent="0" shrinkToFit="false"/>
      <protection locked="true" hidden="false"/>
    </xf>
    <xf numFmtId="164" fontId="0" fillId="5" borderId="5" xfId="0" applyFont="false" applyBorder="true" applyAlignment="false" applyProtection="false">
      <alignment horizontal="general" vertical="bottom" textRotation="0" wrapText="false" indent="0" shrinkToFit="false"/>
      <protection locked="true" hidden="false"/>
    </xf>
    <xf numFmtId="164" fontId="16" fillId="5" borderId="6" xfId="0" applyFont="true" applyBorder="true" applyAlignment="true" applyProtection="false">
      <alignment horizontal="left" vertical="center" textRotation="0" wrapText="false" indent="0" shrinkToFit="false"/>
      <protection locked="true" hidden="false"/>
    </xf>
    <xf numFmtId="164" fontId="17" fillId="4" borderId="6" xfId="0" applyFont="true" applyBorder="true" applyAlignment="true" applyProtection="false">
      <alignment horizontal="center" vertical="center" textRotation="0" wrapText="false" indent="0" shrinkToFit="false"/>
      <protection locked="true" hidden="false"/>
    </xf>
    <xf numFmtId="164" fontId="13" fillId="5" borderId="6" xfId="0" applyFont="true" applyBorder="true" applyAlignment="true" applyProtection="false">
      <alignment horizontal="left" vertical="center" textRotation="0" wrapText="false" indent="0" shrinkToFit="false"/>
      <protection locked="true" hidden="false"/>
    </xf>
    <xf numFmtId="164" fontId="18" fillId="3" borderId="7" xfId="0" applyFont="true" applyBorder="true" applyAlignment="true" applyProtection="false">
      <alignment horizontal="left" vertical="center" textRotation="0" wrapText="false" indent="0" shrinkToFit="false"/>
      <protection locked="true" hidden="false"/>
    </xf>
    <xf numFmtId="164" fontId="10" fillId="6" borderId="5" xfId="0" applyFont="true" applyBorder="true" applyAlignment="true" applyProtection="false">
      <alignment horizontal="center" vertical="center" textRotation="0" wrapText="false" indent="0" shrinkToFit="false"/>
      <protection locked="true" hidden="false"/>
    </xf>
    <xf numFmtId="164" fontId="19" fillId="6" borderId="5" xfId="0" applyFont="true" applyBorder="true" applyAlignment="true" applyProtection="false">
      <alignment horizontal="left" vertical="center" textRotation="0" wrapText="false" indent="0" shrinkToFit="false"/>
      <protection locked="true" hidden="false"/>
    </xf>
    <xf numFmtId="164" fontId="19" fillId="6" borderId="5" xfId="0" applyFont="true" applyBorder="true" applyAlignment="true" applyProtection="false">
      <alignment horizontal="center" vertical="center" textRotation="0" wrapText="false" indent="0" shrinkToFit="false"/>
      <protection locked="true" hidden="false"/>
    </xf>
    <xf numFmtId="165" fontId="19" fillId="6" borderId="5" xfId="0" applyFont="true" applyBorder="true" applyAlignment="true" applyProtection="false">
      <alignment horizontal="center" vertical="center" textRotation="0" wrapText="false" indent="0" shrinkToFit="false"/>
      <protection locked="true" hidden="false"/>
    </xf>
    <xf numFmtId="166" fontId="19" fillId="6" borderId="5" xfId="0" applyFont="true" applyBorder="true" applyAlignment="true" applyProtection="false">
      <alignment horizontal="center" vertical="center" textRotation="0" wrapText="false" indent="0" shrinkToFit="false"/>
      <protection locked="true" hidden="false"/>
    </xf>
    <xf numFmtId="164" fontId="19" fillId="6" borderId="5" xfId="0" applyFont="true" applyBorder="true" applyAlignment="true" applyProtection="false">
      <alignment horizontal="left" vertical="center" textRotation="0" wrapText="true" indent="0" shrinkToFit="false"/>
      <protection locked="true" hidden="false"/>
    </xf>
    <xf numFmtId="164" fontId="10" fillId="5" borderId="5" xfId="0" applyFont="true" applyBorder="true" applyAlignment="true" applyProtection="false">
      <alignment horizontal="center" vertical="center" textRotation="0" wrapText="false" indent="0" shrinkToFit="false"/>
      <protection locked="true" hidden="false"/>
    </xf>
    <xf numFmtId="164" fontId="19" fillId="5" borderId="5" xfId="0" applyFont="true" applyBorder="true" applyAlignment="true" applyProtection="false">
      <alignment horizontal="left" vertical="center" textRotation="0" wrapText="false" indent="0" shrinkToFit="false"/>
      <protection locked="true" hidden="false"/>
    </xf>
    <xf numFmtId="164" fontId="19" fillId="5" borderId="5" xfId="0" applyFont="true" applyBorder="true" applyAlignment="true" applyProtection="false">
      <alignment horizontal="center" vertical="center" textRotation="0" wrapText="false" indent="0" shrinkToFit="false"/>
      <protection locked="true" hidden="false"/>
    </xf>
    <xf numFmtId="165" fontId="19" fillId="5" borderId="5" xfId="0" applyFont="true" applyBorder="true" applyAlignment="true" applyProtection="false">
      <alignment horizontal="center" vertical="center" textRotation="0" wrapText="false" indent="0" shrinkToFit="false"/>
      <protection locked="true" hidden="false"/>
    </xf>
    <xf numFmtId="166" fontId="19" fillId="5" borderId="5" xfId="0" applyFont="true" applyBorder="true" applyAlignment="true" applyProtection="false">
      <alignment horizontal="center" vertical="center" textRotation="0" wrapText="false" indent="0" shrinkToFit="false"/>
      <protection locked="true" hidden="false"/>
    </xf>
    <xf numFmtId="164" fontId="19" fillId="5" borderId="5" xfId="0" applyFont="true" applyBorder="true" applyAlignment="true" applyProtection="false">
      <alignment horizontal="left" vertical="center" textRotation="0" wrapText="true" indent="0" shrinkToFit="false"/>
      <protection locked="true" hidden="false"/>
    </xf>
    <xf numFmtId="164" fontId="18" fillId="2" borderId="8" xfId="0" applyFont="true" applyBorder="true" applyAlignment="true" applyProtection="false">
      <alignment horizontal="right" vertical="center" textRotation="0" wrapText="false" indent="0" shrinkToFit="false"/>
      <protection locked="true" hidden="false"/>
    </xf>
    <xf numFmtId="165" fontId="20" fillId="2" borderId="9" xfId="0" applyFont="true" applyBorder="true" applyAlignment="true" applyProtection="false">
      <alignment horizontal="center" vertical="center" textRotation="0" wrapText="false" indent="0" shrinkToFit="false"/>
      <protection locked="true" hidden="false"/>
    </xf>
    <xf numFmtId="166" fontId="20" fillId="2" borderId="9"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21" fillId="9" borderId="10" xfId="0" applyFont="true" applyBorder="true" applyAlignment="true" applyProtection="false">
      <alignment horizontal="right" vertical="center" textRotation="0" wrapText="false" indent="0" shrinkToFit="false"/>
      <protection locked="true" hidden="false"/>
    </xf>
    <xf numFmtId="165" fontId="22" fillId="9" borderId="4" xfId="0" applyFont="true" applyBorder="true" applyAlignment="true" applyProtection="false">
      <alignment horizontal="center" vertical="center" textRotation="0" wrapText="false" indent="0" shrinkToFit="false"/>
      <protection locked="true" hidden="false"/>
    </xf>
    <xf numFmtId="166" fontId="22" fillId="9" borderId="4"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20" fillId="10" borderId="11" xfId="0" applyFont="true" applyBorder="true" applyAlignment="true" applyProtection="false">
      <alignment horizontal="right" vertical="center" textRotation="0" wrapText="false" indent="0" shrinkToFit="false"/>
      <protection locked="true" hidden="false"/>
    </xf>
    <xf numFmtId="165" fontId="23" fillId="10" borderId="12" xfId="0" applyFont="true" applyBorder="true" applyAlignment="true" applyProtection="false">
      <alignment horizontal="center" vertical="center" textRotation="0" wrapText="false" indent="0" shrinkToFit="false"/>
      <protection locked="true" hidden="false"/>
    </xf>
    <xf numFmtId="166" fontId="23" fillId="10" borderId="12" xfId="0" applyFont="true" applyBorder="true" applyAlignment="true" applyProtection="false">
      <alignment horizontal="center" vertical="center"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15" fillId="4" borderId="13" xfId="0" applyFont="true" applyBorder="true" applyAlignment="true" applyProtection="false">
      <alignment horizontal="right" vertical="center" textRotation="0" wrapText="false" indent="0" shrinkToFit="false"/>
      <protection locked="true" hidden="false"/>
    </xf>
    <xf numFmtId="165" fontId="24" fillId="4" borderId="14" xfId="0" applyFont="true" applyBorder="true" applyAlignment="true" applyProtection="false">
      <alignment horizontal="center" vertical="center" textRotation="0" wrapText="false" indent="0" shrinkToFit="false"/>
      <protection locked="true" hidden="false"/>
    </xf>
    <xf numFmtId="166" fontId="24" fillId="4" borderId="14"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25" fillId="11" borderId="15" xfId="0" applyFont="true" applyBorder="true" applyAlignment="true" applyProtection="false">
      <alignment horizontal="left" vertical="center" textRotation="0" wrapText="true" indent="0" shrinkToFit="false"/>
      <protection locked="true" hidden="false"/>
    </xf>
    <xf numFmtId="164" fontId="18" fillId="2" borderId="7" xfId="0" applyFont="true" applyBorder="true" applyAlignment="true" applyProtection="false">
      <alignment horizontal="center" vertical="center" textRotation="0" wrapText="false" indent="0" shrinkToFit="false"/>
      <protection locked="true" hidden="false"/>
    </xf>
    <xf numFmtId="165" fontId="15" fillId="5" borderId="5" xfId="0" applyFont="true" applyBorder="true" applyAlignment="true" applyProtection="false">
      <alignment horizontal="center" vertical="center" textRotation="0" wrapText="false" indent="0" shrinkToFit="false"/>
      <protection locked="true" hidden="false"/>
    </xf>
    <xf numFmtId="166" fontId="15" fillId="5" borderId="5" xfId="0" applyFont="true" applyBorder="true" applyAlignment="true" applyProtection="false">
      <alignment horizontal="center" vertical="center" textRotation="0" wrapText="false" indent="0" shrinkToFit="false"/>
      <protection locked="true" hidden="false"/>
    </xf>
    <xf numFmtId="165" fontId="15" fillId="6" borderId="5" xfId="0" applyFont="true" applyBorder="true" applyAlignment="true" applyProtection="false">
      <alignment horizontal="center" vertical="center" textRotation="0" wrapText="false" indent="0" shrinkToFit="false"/>
      <protection locked="true" hidden="false"/>
    </xf>
    <xf numFmtId="166" fontId="15" fillId="6" borderId="5" xfId="0" applyFont="true" applyBorder="true" applyAlignment="true" applyProtection="false">
      <alignment horizontal="center" vertical="center" textRotation="0" wrapText="false" indent="0" shrinkToFit="false"/>
      <protection locked="true" hidden="false"/>
    </xf>
    <xf numFmtId="164" fontId="18" fillId="2" borderId="7" xfId="0" applyFont="true" applyBorder="true" applyAlignment="true" applyProtection="false">
      <alignment horizontal="right" vertical="center" textRotation="0" wrapText="false" indent="0" shrinkToFit="false"/>
      <protection locked="true" hidden="false"/>
    </xf>
    <xf numFmtId="165" fontId="20" fillId="2" borderId="16" xfId="0" applyFont="true" applyBorder="true" applyAlignment="true" applyProtection="false">
      <alignment horizontal="center" vertical="center" textRotation="0" wrapText="false" indent="0" shrinkToFit="false"/>
      <protection locked="true" hidden="false"/>
    </xf>
    <xf numFmtId="166" fontId="20" fillId="2" borderId="16" xfId="0" applyFont="true" applyBorder="true" applyAlignment="true" applyProtection="false">
      <alignment horizontal="center" vertical="center" textRotation="0" wrapText="false" indent="0" shrinkToFit="false"/>
      <protection locked="true" hidden="false"/>
    </xf>
    <xf numFmtId="164" fontId="26" fillId="2" borderId="0" xfId="0" applyFont="true" applyBorder="true" applyAlignment="true" applyProtection="false">
      <alignment horizontal="center" vertical="center" textRotation="0" wrapText="false" indent="0" shrinkToFit="false"/>
      <protection locked="true" hidden="false"/>
    </xf>
    <xf numFmtId="164" fontId="27" fillId="6" borderId="5" xfId="0" applyFont="true" applyBorder="true" applyAlignment="true" applyProtection="false">
      <alignment horizontal="center" vertical="center" textRotation="0" wrapText="false" indent="0" shrinkToFit="false"/>
      <protection locked="true" hidden="false"/>
    </xf>
    <xf numFmtId="166" fontId="16" fillId="6" borderId="5" xfId="0" applyFont="true" applyBorder="true" applyAlignment="true" applyProtection="false">
      <alignment horizontal="center" vertical="center" textRotation="0" wrapText="false" indent="0" shrinkToFit="false"/>
      <protection locked="true" hidden="false"/>
    </xf>
    <xf numFmtId="164" fontId="27" fillId="5" borderId="5" xfId="0" applyFont="true" applyBorder="true" applyAlignment="true" applyProtection="false">
      <alignment horizontal="center" vertical="center" textRotation="0" wrapText="false" indent="0" shrinkToFit="false"/>
      <protection locked="true" hidden="false"/>
    </xf>
    <xf numFmtId="166" fontId="16" fillId="5" borderId="5"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DEEAF1"/>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FCC99"/>
      <rgbColor rgb="FF2E75B6"/>
      <rgbColor rgb="FF33CCCC"/>
      <rgbColor rgb="FF99CC00"/>
      <rgbColor rgb="FFF9A825"/>
      <rgbColor rgb="FFFF9900"/>
      <rgbColor rgb="FFFF6600"/>
      <rgbColor rgb="FF595959"/>
      <rgbColor rgb="FF999999"/>
      <rgbColor rgb="FF1F3864"/>
      <rgbColor rgb="FF70AD47"/>
      <rgbColor rgb="FF003300"/>
      <rgbColor rgb="FF375623"/>
      <rgbColor rgb="FF993300"/>
      <rgbColor rgb="FF993366"/>
      <rgbColor rgb="FF333399"/>
      <rgbColor rgb="FF5D40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16"/>
    <col collapsed="false" customWidth="true" hidden="false" outlineLevel="0" max="5" min="4" style="0" width="9"/>
    <col collapsed="false" customWidth="true" hidden="false" outlineLevel="0" max="19" min="6" style="0" width="4.2"/>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row>
    <row r="2" customFormat="false" ht="18" hidden="false" customHeight="true" outlineLevel="0" collapsed="false">
      <c r="A2" s="2" t="s">
        <v>1</v>
      </c>
      <c r="B2" s="2"/>
      <c r="C2" s="2"/>
      <c r="D2" s="2"/>
      <c r="E2" s="2"/>
      <c r="F2" s="2"/>
      <c r="G2" s="2"/>
      <c r="H2" s="2"/>
      <c r="I2" s="2"/>
      <c r="J2" s="2"/>
      <c r="K2" s="2"/>
      <c r="L2" s="2"/>
      <c r="M2" s="2"/>
      <c r="N2" s="2"/>
      <c r="O2" s="2"/>
      <c r="P2" s="2"/>
      <c r="Q2" s="2"/>
      <c r="R2" s="2"/>
      <c r="S2" s="2"/>
    </row>
    <row r="3" customFormat="false" ht="21.75" hidden="false" customHeight="true" outlineLevel="0" collapsed="false">
      <c r="A3" s="3" t="s">
        <v>2</v>
      </c>
      <c r="B3" s="3" t="s">
        <v>3</v>
      </c>
      <c r="C3" s="3" t="s">
        <v>4</v>
      </c>
      <c r="D3" s="3" t="s">
        <v>5</v>
      </c>
      <c r="E3" s="3" t="s">
        <v>6</v>
      </c>
      <c r="F3" s="4" t="s">
        <v>7</v>
      </c>
      <c r="G3" s="4" t="s">
        <v>8</v>
      </c>
      <c r="H3" s="4" t="s">
        <v>9</v>
      </c>
      <c r="I3" s="4" t="s">
        <v>10</v>
      </c>
      <c r="J3" s="4" t="s">
        <v>11</v>
      </c>
      <c r="K3" s="4" t="s">
        <v>12</v>
      </c>
      <c r="L3" s="4" t="s">
        <v>13</v>
      </c>
      <c r="M3" s="4" t="s">
        <v>14</v>
      </c>
      <c r="N3" s="4" t="s">
        <v>15</v>
      </c>
      <c r="O3" s="4" t="s">
        <v>16</v>
      </c>
      <c r="P3" s="4" t="s">
        <v>17</v>
      </c>
      <c r="Q3" s="4" t="s">
        <v>18</v>
      </c>
      <c r="R3" s="4" t="s">
        <v>19</v>
      </c>
      <c r="S3" s="4" t="s">
        <v>20</v>
      </c>
    </row>
    <row r="4" customFormat="false" ht="18" hidden="false" customHeight="true" outlineLevel="0" collapsed="false">
      <c r="A4" s="5"/>
      <c r="B4" s="5"/>
      <c r="C4" s="5"/>
      <c r="D4" s="5"/>
      <c r="E4" s="5"/>
      <c r="F4" s="6" t="s">
        <v>21</v>
      </c>
      <c r="G4" s="6" t="s">
        <v>22</v>
      </c>
      <c r="H4" s="6" t="s">
        <v>23</v>
      </c>
      <c r="I4" s="6" t="s">
        <v>24</v>
      </c>
      <c r="J4" s="6" t="s">
        <v>25</v>
      </c>
      <c r="K4" s="6" t="s">
        <v>26</v>
      </c>
      <c r="L4" s="6" t="s">
        <v>27</v>
      </c>
      <c r="M4" s="6" t="s">
        <v>28</v>
      </c>
      <c r="N4" s="6" t="s">
        <v>29</v>
      </c>
      <c r="O4" s="6" t="s">
        <v>30</v>
      </c>
      <c r="P4" s="6" t="s">
        <v>31</v>
      </c>
      <c r="Q4" s="6" t="s">
        <v>32</v>
      </c>
      <c r="R4" s="6" t="s">
        <v>33</v>
      </c>
      <c r="S4" s="6" t="s">
        <v>34</v>
      </c>
    </row>
    <row r="5" customFormat="false" ht="19.5" hidden="false" customHeight="true" outlineLevel="0" collapsed="false">
      <c r="A5" s="7"/>
      <c r="B5" s="8" t="s">
        <v>35</v>
      </c>
      <c r="C5" s="9" t="s">
        <v>36</v>
      </c>
      <c r="D5" s="10"/>
      <c r="E5" s="10"/>
      <c r="F5" s="11"/>
      <c r="G5" s="11"/>
      <c r="H5" s="11"/>
      <c r="I5" s="11"/>
      <c r="J5" s="11"/>
      <c r="K5" s="11"/>
      <c r="L5" s="11"/>
      <c r="M5" s="11"/>
      <c r="N5" s="11"/>
      <c r="O5" s="11"/>
      <c r="P5" s="11"/>
      <c r="Q5" s="11"/>
      <c r="R5" s="11"/>
      <c r="S5" s="11"/>
    </row>
    <row r="6" customFormat="false" ht="18" hidden="false" customHeight="true" outlineLevel="0" collapsed="false">
      <c r="A6" s="12" t="n">
        <v>2</v>
      </c>
      <c r="B6" s="13" t="s">
        <v>37</v>
      </c>
      <c r="C6" s="14" t="s">
        <v>38</v>
      </c>
      <c r="D6" s="15" t="n">
        <v>1</v>
      </c>
      <c r="E6" s="15" t="n">
        <v>1</v>
      </c>
      <c r="F6" s="16"/>
      <c r="G6" s="17"/>
      <c r="H6" s="17"/>
      <c r="I6" s="17"/>
      <c r="J6" s="17"/>
      <c r="K6" s="17"/>
      <c r="L6" s="17"/>
      <c r="M6" s="17"/>
      <c r="N6" s="17"/>
      <c r="O6" s="17"/>
      <c r="P6" s="17"/>
      <c r="Q6" s="17"/>
      <c r="R6" s="17"/>
      <c r="S6" s="17"/>
    </row>
    <row r="7" customFormat="false" ht="18" hidden="false" customHeight="true" outlineLevel="0" collapsed="false">
      <c r="A7" s="18" t="n">
        <v>3</v>
      </c>
      <c r="B7" s="19" t="s">
        <v>39</v>
      </c>
      <c r="C7" s="20" t="s">
        <v>40</v>
      </c>
      <c r="D7" s="21" t="n">
        <v>1</v>
      </c>
      <c r="E7" s="21" t="n">
        <v>2</v>
      </c>
      <c r="F7" s="16"/>
      <c r="G7" s="16"/>
      <c r="H7" s="22"/>
      <c r="I7" s="22"/>
      <c r="J7" s="22"/>
      <c r="K7" s="22"/>
      <c r="L7" s="22"/>
      <c r="M7" s="22"/>
      <c r="N7" s="22"/>
      <c r="O7" s="22"/>
      <c r="P7" s="22"/>
      <c r="Q7" s="22"/>
      <c r="R7" s="22"/>
      <c r="S7" s="22"/>
    </row>
    <row r="8" customFormat="false" ht="18" hidden="false" customHeight="true" outlineLevel="0" collapsed="false">
      <c r="A8" s="12" t="n">
        <v>4</v>
      </c>
      <c r="B8" s="13" t="s">
        <v>41</v>
      </c>
      <c r="C8" s="14" t="s">
        <v>42</v>
      </c>
      <c r="D8" s="15" t="n">
        <v>1</v>
      </c>
      <c r="E8" s="15" t="n">
        <v>2</v>
      </c>
      <c r="F8" s="16"/>
      <c r="G8" s="16"/>
      <c r="H8" s="17"/>
      <c r="I8" s="17"/>
      <c r="J8" s="17"/>
      <c r="K8" s="17"/>
      <c r="L8" s="17"/>
      <c r="M8" s="17"/>
      <c r="N8" s="17"/>
      <c r="O8" s="17"/>
      <c r="P8" s="17"/>
      <c r="Q8" s="17"/>
      <c r="R8" s="17"/>
      <c r="S8" s="17"/>
    </row>
    <row r="9" customFormat="false" ht="18" hidden="false" customHeight="true" outlineLevel="0" collapsed="false">
      <c r="A9" s="18" t="n">
        <v>5</v>
      </c>
      <c r="B9" s="19" t="s">
        <v>43</v>
      </c>
      <c r="C9" s="20" t="s">
        <v>40</v>
      </c>
      <c r="D9" s="21" t="n">
        <v>2</v>
      </c>
      <c r="E9" s="21" t="n">
        <v>1</v>
      </c>
      <c r="F9" s="22"/>
      <c r="G9" s="16"/>
      <c r="H9" s="22"/>
      <c r="I9" s="22"/>
      <c r="J9" s="22"/>
      <c r="K9" s="22"/>
      <c r="L9" s="22"/>
      <c r="M9" s="22"/>
      <c r="N9" s="22"/>
      <c r="O9" s="22"/>
      <c r="P9" s="22"/>
      <c r="Q9" s="22"/>
      <c r="R9" s="22"/>
      <c r="S9" s="22"/>
    </row>
    <row r="10" customFormat="false" ht="18" hidden="false" customHeight="true" outlineLevel="0" collapsed="false">
      <c r="A10" s="12" t="n">
        <v>6</v>
      </c>
      <c r="B10" s="13" t="s">
        <v>44</v>
      </c>
      <c r="C10" s="14" t="s">
        <v>40</v>
      </c>
      <c r="D10" s="15" t="n">
        <v>2</v>
      </c>
      <c r="E10" s="15" t="n">
        <v>1</v>
      </c>
      <c r="F10" s="17"/>
      <c r="G10" s="16"/>
      <c r="H10" s="17"/>
      <c r="I10" s="17"/>
      <c r="J10" s="17"/>
      <c r="K10" s="17"/>
      <c r="L10" s="17"/>
      <c r="M10" s="17"/>
      <c r="N10" s="17"/>
      <c r="O10" s="17"/>
      <c r="P10" s="17"/>
      <c r="Q10" s="17"/>
      <c r="R10" s="17"/>
      <c r="S10" s="17"/>
    </row>
    <row r="11" customFormat="false" ht="19.5" hidden="false" customHeight="true" outlineLevel="0" collapsed="false">
      <c r="A11" s="7"/>
      <c r="B11" s="8" t="s">
        <v>45</v>
      </c>
      <c r="C11" s="9" t="s">
        <v>46</v>
      </c>
      <c r="D11" s="10"/>
      <c r="E11" s="10"/>
      <c r="F11" s="11"/>
      <c r="G11" s="11"/>
      <c r="H11" s="11"/>
      <c r="I11" s="11"/>
      <c r="J11" s="11"/>
      <c r="K11" s="11"/>
      <c r="L11" s="11"/>
      <c r="M11" s="11"/>
      <c r="N11" s="11"/>
      <c r="O11" s="11"/>
      <c r="P11" s="11"/>
      <c r="Q11" s="11"/>
      <c r="R11" s="11"/>
      <c r="S11" s="11"/>
    </row>
    <row r="12" customFormat="false" ht="18" hidden="false" customHeight="true" outlineLevel="0" collapsed="false">
      <c r="A12" s="12" t="n">
        <v>8</v>
      </c>
      <c r="B12" s="13" t="s">
        <v>47</v>
      </c>
      <c r="C12" s="14" t="s">
        <v>40</v>
      </c>
      <c r="D12" s="15" t="n">
        <v>3</v>
      </c>
      <c r="E12" s="15" t="n">
        <v>1</v>
      </c>
      <c r="F12" s="17"/>
      <c r="G12" s="17"/>
      <c r="H12" s="16"/>
      <c r="I12" s="17"/>
      <c r="J12" s="17"/>
      <c r="K12" s="17"/>
      <c r="L12" s="17"/>
      <c r="M12" s="17"/>
      <c r="N12" s="17"/>
      <c r="O12" s="17"/>
      <c r="P12" s="17"/>
      <c r="Q12" s="17"/>
      <c r="R12" s="17"/>
      <c r="S12" s="17"/>
    </row>
    <row r="13" customFormat="false" ht="18" hidden="false" customHeight="true" outlineLevel="0" collapsed="false">
      <c r="A13" s="18" t="n">
        <v>9</v>
      </c>
      <c r="B13" s="19" t="s">
        <v>48</v>
      </c>
      <c r="C13" s="20" t="s">
        <v>49</v>
      </c>
      <c r="D13" s="21" t="n">
        <v>3</v>
      </c>
      <c r="E13" s="21" t="n">
        <v>2</v>
      </c>
      <c r="F13" s="22"/>
      <c r="G13" s="22"/>
      <c r="H13" s="16"/>
      <c r="I13" s="16"/>
      <c r="J13" s="22"/>
      <c r="K13" s="22"/>
      <c r="L13" s="22"/>
      <c r="M13" s="22"/>
      <c r="N13" s="22"/>
      <c r="O13" s="22"/>
      <c r="P13" s="22"/>
      <c r="Q13" s="22"/>
      <c r="R13" s="22"/>
      <c r="S13" s="22"/>
    </row>
    <row r="14" customFormat="false" ht="18" hidden="false" customHeight="true" outlineLevel="0" collapsed="false">
      <c r="A14" s="12" t="n">
        <v>10</v>
      </c>
      <c r="B14" s="13" t="s">
        <v>50</v>
      </c>
      <c r="C14" s="14" t="s">
        <v>51</v>
      </c>
      <c r="D14" s="15" t="n">
        <v>3</v>
      </c>
      <c r="E14" s="15" t="n">
        <v>1</v>
      </c>
      <c r="F14" s="17"/>
      <c r="G14" s="17"/>
      <c r="H14" s="16"/>
      <c r="I14" s="17"/>
      <c r="J14" s="17"/>
      <c r="K14" s="17"/>
      <c r="L14" s="17"/>
      <c r="M14" s="17"/>
      <c r="N14" s="17"/>
      <c r="O14" s="17"/>
      <c r="P14" s="17"/>
      <c r="Q14" s="17"/>
      <c r="R14" s="17"/>
      <c r="S14" s="17"/>
    </row>
    <row r="15" customFormat="false" ht="18" hidden="false" customHeight="true" outlineLevel="0" collapsed="false">
      <c r="A15" s="18" t="n">
        <v>11</v>
      </c>
      <c r="B15" s="19" t="s">
        <v>52</v>
      </c>
      <c r="C15" s="20" t="s">
        <v>40</v>
      </c>
      <c r="D15" s="21" t="n">
        <v>4</v>
      </c>
      <c r="E15" s="21" t="n">
        <v>1</v>
      </c>
      <c r="F15" s="22"/>
      <c r="G15" s="22"/>
      <c r="H15" s="22"/>
      <c r="I15" s="16"/>
      <c r="J15" s="22"/>
      <c r="K15" s="22"/>
      <c r="L15" s="22"/>
      <c r="M15" s="22"/>
      <c r="N15" s="22"/>
      <c r="O15" s="22"/>
      <c r="P15" s="22"/>
      <c r="Q15" s="22"/>
      <c r="R15" s="22"/>
      <c r="S15" s="22"/>
    </row>
    <row r="16" customFormat="false" ht="18" hidden="false" customHeight="true" outlineLevel="0" collapsed="false">
      <c r="A16" s="12" t="n">
        <v>12</v>
      </c>
      <c r="B16" s="13" t="s">
        <v>53</v>
      </c>
      <c r="C16" s="14" t="s">
        <v>40</v>
      </c>
      <c r="D16" s="15" t="n">
        <v>4</v>
      </c>
      <c r="E16" s="15" t="n">
        <v>1</v>
      </c>
      <c r="F16" s="17"/>
      <c r="G16" s="17"/>
      <c r="H16" s="17"/>
      <c r="I16" s="16"/>
      <c r="J16" s="17"/>
      <c r="K16" s="17"/>
      <c r="L16" s="17"/>
      <c r="M16" s="17"/>
      <c r="N16" s="17"/>
      <c r="O16" s="17"/>
      <c r="P16" s="17"/>
      <c r="Q16" s="17"/>
      <c r="R16" s="17"/>
      <c r="S16" s="17"/>
    </row>
    <row r="17" customFormat="false" ht="19.5" hidden="false" customHeight="true" outlineLevel="0" collapsed="false">
      <c r="A17" s="7"/>
      <c r="B17" s="8" t="s">
        <v>54</v>
      </c>
      <c r="C17" s="9" t="s">
        <v>55</v>
      </c>
      <c r="D17" s="10"/>
      <c r="E17" s="10"/>
      <c r="F17" s="11"/>
      <c r="G17" s="11"/>
      <c r="H17" s="11"/>
      <c r="I17" s="11"/>
      <c r="J17" s="11"/>
      <c r="K17" s="11"/>
      <c r="L17" s="11"/>
      <c r="M17" s="11"/>
      <c r="N17" s="11"/>
      <c r="O17" s="11"/>
      <c r="P17" s="11"/>
      <c r="Q17" s="11"/>
      <c r="R17" s="11"/>
      <c r="S17" s="11"/>
    </row>
    <row r="18" customFormat="false" ht="18" hidden="false" customHeight="true" outlineLevel="0" collapsed="false">
      <c r="A18" s="12" t="n">
        <v>14</v>
      </c>
      <c r="B18" s="13" t="s">
        <v>56</v>
      </c>
      <c r="C18" s="14" t="s">
        <v>57</v>
      </c>
      <c r="D18" s="15" t="n">
        <v>5</v>
      </c>
      <c r="E18" s="15" t="n">
        <v>1</v>
      </c>
      <c r="F18" s="17"/>
      <c r="G18" s="17"/>
      <c r="H18" s="17"/>
      <c r="I18" s="17"/>
      <c r="J18" s="16"/>
      <c r="K18" s="17"/>
      <c r="L18" s="17"/>
      <c r="M18" s="17"/>
      <c r="N18" s="17"/>
      <c r="O18" s="17"/>
      <c r="P18" s="17"/>
      <c r="Q18" s="17"/>
      <c r="R18" s="17"/>
      <c r="S18" s="17"/>
    </row>
    <row r="19" customFormat="false" ht="18" hidden="false" customHeight="true" outlineLevel="0" collapsed="false">
      <c r="A19" s="18" t="n">
        <v>15</v>
      </c>
      <c r="B19" s="19" t="s">
        <v>58</v>
      </c>
      <c r="C19" s="20" t="s">
        <v>57</v>
      </c>
      <c r="D19" s="21" t="n">
        <v>5</v>
      </c>
      <c r="E19" s="21" t="n">
        <v>1</v>
      </c>
      <c r="F19" s="22"/>
      <c r="G19" s="22"/>
      <c r="H19" s="22"/>
      <c r="I19" s="22"/>
      <c r="J19" s="16"/>
      <c r="K19" s="22"/>
      <c r="L19" s="22"/>
      <c r="M19" s="22"/>
      <c r="N19" s="22"/>
      <c r="O19" s="22"/>
      <c r="P19" s="22"/>
      <c r="Q19" s="22"/>
      <c r="R19" s="22"/>
      <c r="S19" s="22"/>
    </row>
    <row r="20" customFormat="false" ht="18" hidden="false" customHeight="true" outlineLevel="0" collapsed="false">
      <c r="A20" s="12" t="n">
        <v>16</v>
      </c>
      <c r="B20" s="13" t="s">
        <v>59</v>
      </c>
      <c r="C20" s="14" t="s">
        <v>49</v>
      </c>
      <c r="D20" s="15" t="n">
        <v>5</v>
      </c>
      <c r="E20" s="15" t="n">
        <v>2</v>
      </c>
      <c r="F20" s="17"/>
      <c r="G20" s="17"/>
      <c r="H20" s="17"/>
      <c r="I20" s="17"/>
      <c r="J20" s="16"/>
      <c r="K20" s="16"/>
      <c r="L20" s="17"/>
      <c r="M20" s="17"/>
      <c r="N20" s="17"/>
      <c r="O20" s="17"/>
      <c r="P20" s="17"/>
      <c r="Q20" s="17"/>
      <c r="R20" s="17"/>
      <c r="S20" s="17"/>
    </row>
    <row r="21" customFormat="false" ht="18" hidden="false" customHeight="true" outlineLevel="0" collapsed="false">
      <c r="A21" s="18" t="n">
        <v>17</v>
      </c>
      <c r="B21" s="19" t="s">
        <v>60</v>
      </c>
      <c r="C21" s="20" t="s">
        <v>51</v>
      </c>
      <c r="D21" s="21" t="n">
        <v>6</v>
      </c>
      <c r="E21" s="21" t="n">
        <v>1</v>
      </c>
      <c r="F21" s="22"/>
      <c r="G21" s="22"/>
      <c r="H21" s="22"/>
      <c r="I21" s="22"/>
      <c r="J21" s="22"/>
      <c r="K21" s="16"/>
      <c r="L21" s="22"/>
      <c r="M21" s="22"/>
      <c r="N21" s="22"/>
      <c r="O21" s="22"/>
      <c r="P21" s="22"/>
      <c r="Q21" s="22"/>
      <c r="R21" s="22"/>
      <c r="S21" s="22"/>
    </row>
    <row r="22" customFormat="false" ht="18" hidden="false" customHeight="true" outlineLevel="0" collapsed="false">
      <c r="A22" s="12" t="n">
        <v>18</v>
      </c>
      <c r="B22" s="13" t="s">
        <v>61</v>
      </c>
      <c r="C22" s="14" t="s">
        <v>57</v>
      </c>
      <c r="D22" s="15" t="n">
        <v>6</v>
      </c>
      <c r="E22" s="15" t="n">
        <v>2</v>
      </c>
      <c r="F22" s="17"/>
      <c r="G22" s="17"/>
      <c r="H22" s="17"/>
      <c r="I22" s="17"/>
      <c r="J22" s="17"/>
      <c r="K22" s="16"/>
      <c r="L22" s="16"/>
      <c r="M22" s="17"/>
      <c r="N22" s="17"/>
      <c r="O22" s="17"/>
      <c r="P22" s="17"/>
      <c r="Q22" s="17"/>
      <c r="R22" s="17"/>
      <c r="S22" s="17"/>
    </row>
    <row r="23" customFormat="false" ht="18" hidden="false" customHeight="true" outlineLevel="0" collapsed="false">
      <c r="A23" s="18" t="n">
        <v>19</v>
      </c>
      <c r="B23" s="19" t="s">
        <v>62</v>
      </c>
      <c r="C23" s="20" t="s">
        <v>49</v>
      </c>
      <c r="D23" s="21" t="n">
        <v>7</v>
      </c>
      <c r="E23" s="21" t="n">
        <v>1</v>
      </c>
      <c r="F23" s="22"/>
      <c r="G23" s="22"/>
      <c r="H23" s="22"/>
      <c r="I23" s="22"/>
      <c r="J23" s="22"/>
      <c r="K23" s="22"/>
      <c r="L23" s="16"/>
      <c r="M23" s="22"/>
      <c r="N23" s="22"/>
      <c r="O23" s="22"/>
      <c r="P23" s="22"/>
      <c r="Q23" s="22"/>
      <c r="R23" s="22"/>
      <c r="S23" s="22"/>
    </row>
    <row r="24" customFormat="false" ht="18" hidden="false" customHeight="true" outlineLevel="0" collapsed="false">
      <c r="A24" s="12" t="n">
        <v>20</v>
      </c>
      <c r="B24" s="13" t="s">
        <v>63</v>
      </c>
      <c r="C24" s="14" t="s">
        <v>57</v>
      </c>
      <c r="D24" s="15" t="n">
        <v>7</v>
      </c>
      <c r="E24" s="15" t="n">
        <v>1</v>
      </c>
      <c r="F24" s="17"/>
      <c r="G24" s="17"/>
      <c r="H24" s="17"/>
      <c r="I24" s="17"/>
      <c r="J24" s="17"/>
      <c r="K24" s="17"/>
      <c r="L24" s="16"/>
      <c r="M24" s="17"/>
      <c r="N24" s="17"/>
      <c r="O24" s="17"/>
      <c r="P24" s="17"/>
      <c r="Q24" s="17"/>
      <c r="R24" s="17"/>
      <c r="S24" s="17"/>
    </row>
    <row r="25" customFormat="false" ht="19.5" hidden="false" customHeight="true" outlineLevel="0" collapsed="false">
      <c r="A25" s="7"/>
      <c r="B25" s="8" t="s">
        <v>64</v>
      </c>
      <c r="C25" s="9" t="s">
        <v>51</v>
      </c>
      <c r="D25" s="10"/>
      <c r="E25" s="10"/>
      <c r="F25" s="11"/>
      <c r="G25" s="11"/>
      <c r="H25" s="11"/>
      <c r="I25" s="11"/>
      <c r="J25" s="11"/>
      <c r="K25" s="11"/>
      <c r="L25" s="11"/>
      <c r="M25" s="11"/>
      <c r="N25" s="11"/>
      <c r="O25" s="11"/>
      <c r="P25" s="11"/>
      <c r="Q25" s="11"/>
      <c r="R25" s="11"/>
      <c r="S25" s="11"/>
    </row>
    <row r="26" customFormat="false" ht="18" hidden="false" customHeight="true" outlineLevel="0" collapsed="false">
      <c r="A26" s="12" t="n">
        <v>22</v>
      </c>
      <c r="B26" s="13" t="s">
        <v>65</v>
      </c>
      <c r="C26" s="14" t="s">
        <v>51</v>
      </c>
      <c r="D26" s="15" t="n">
        <v>8</v>
      </c>
      <c r="E26" s="15" t="n">
        <v>1</v>
      </c>
      <c r="F26" s="17"/>
      <c r="G26" s="17"/>
      <c r="H26" s="17"/>
      <c r="I26" s="17"/>
      <c r="J26" s="17"/>
      <c r="K26" s="17"/>
      <c r="L26" s="17"/>
      <c r="M26" s="16"/>
      <c r="N26" s="17"/>
      <c r="O26" s="17"/>
      <c r="P26" s="17"/>
      <c r="Q26" s="17"/>
      <c r="R26" s="17"/>
      <c r="S26" s="17"/>
    </row>
    <row r="27" customFormat="false" ht="18" hidden="false" customHeight="true" outlineLevel="0" collapsed="false">
      <c r="A27" s="18" t="n">
        <v>23</v>
      </c>
      <c r="B27" s="19" t="s">
        <v>66</v>
      </c>
      <c r="C27" s="20" t="s">
        <v>51</v>
      </c>
      <c r="D27" s="21" t="n">
        <v>8</v>
      </c>
      <c r="E27" s="21" t="n">
        <v>2</v>
      </c>
      <c r="F27" s="22"/>
      <c r="G27" s="22"/>
      <c r="H27" s="22"/>
      <c r="I27" s="22"/>
      <c r="J27" s="22"/>
      <c r="K27" s="22"/>
      <c r="L27" s="22"/>
      <c r="M27" s="16"/>
      <c r="N27" s="16"/>
      <c r="O27" s="22"/>
      <c r="P27" s="22"/>
      <c r="Q27" s="22"/>
      <c r="R27" s="22"/>
      <c r="S27" s="22"/>
    </row>
    <row r="28" customFormat="false" ht="18" hidden="false" customHeight="true" outlineLevel="0" collapsed="false">
      <c r="A28" s="12" t="n">
        <v>24</v>
      </c>
      <c r="B28" s="13" t="s">
        <v>67</v>
      </c>
      <c r="C28" s="14" t="s">
        <v>51</v>
      </c>
      <c r="D28" s="15" t="n">
        <v>9</v>
      </c>
      <c r="E28" s="15" t="n">
        <v>1</v>
      </c>
      <c r="F28" s="17"/>
      <c r="G28" s="17"/>
      <c r="H28" s="17"/>
      <c r="I28" s="17"/>
      <c r="J28" s="17"/>
      <c r="K28" s="17"/>
      <c r="L28" s="17"/>
      <c r="M28" s="17"/>
      <c r="N28" s="16"/>
      <c r="O28" s="17"/>
      <c r="P28" s="17"/>
      <c r="Q28" s="17"/>
      <c r="R28" s="17"/>
      <c r="S28" s="17"/>
    </row>
    <row r="29" customFormat="false" ht="18" hidden="false" customHeight="true" outlineLevel="0" collapsed="false">
      <c r="A29" s="18" t="n">
        <v>25</v>
      </c>
      <c r="B29" s="19" t="s">
        <v>68</v>
      </c>
      <c r="C29" s="20" t="s">
        <v>51</v>
      </c>
      <c r="D29" s="21" t="n">
        <v>9</v>
      </c>
      <c r="E29" s="21" t="n">
        <v>1</v>
      </c>
      <c r="F29" s="22"/>
      <c r="G29" s="22"/>
      <c r="H29" s="22"/>
      <c r="I29" s="22"/>
      <c r="J29" s="22"/>
      <c r="K29" s="22"/>
      <c r="L29" s="22"/>
      <c r="M29" s="22"/>
      <c r="N29" s="16"/>
      <c r="O29" s="22"/>
      <c r="P29" s="22"/>
      <c r="Q29" s="22"/>
      <c r="R29" s="22"/>
      <c r="S29" s="22"/>
    </row>
    <row r="30" customFormat="false" ht="18" hidden="false" customHeight="true" outlineLevel="0" collapsed="false">
      <c r="A30" s="12" t="n">
        <v>26</v>
      </c>
      <c r="B30" s="13" t="s">
        <v>69</v>
      </c>
      <c r="C30" s="14" t="s">
        <v>51</v>
      </c>
      <c r="D30" s="15" t="n">
        <v>9</v>
      </c>
      <c r="E30" s="15" t="n">
        <v>1</v>
      </c>
      <c r="F30" s="17"/>
      <c r="G30" s="17"/>
      <c r="H30" s="17"/>
      <c r="I30" s="17"/>
      <c r="J30" s="17"/>
      <c r="K30" s="17"/>
      <c r="L30" s="17"/>
      <c r="M30" s="17"/>
      <c r="N30" s="16"/>
      <c r="O30" s="17"/>
      <c r="P30" s="17"/>
      <c r="Q30" s="17"/>
      <c r="R30" s="17"/>
      <c r="S30" s="17"/>
    </row>
    <row r="31" customFormat="false" ht="19.5" hidden="false" customHeight="true" outlineLevel="0" collapsed="false">
      <c r="A31" s="7"/>
      <c r="B31" s="8" t="s">
        <v>70</v>
      </c>
      <c r="C31" s="9" t="s">
        <v>55</v>
      </c>
      <c r="D31" s="10"/>
      <c r="E31" s="10"/>
      <c r="F31" s="11"/>
      <c r="G31" s="11"/>
      <c r="H31" s="11"/>
      <c r="I31" s="11"/>
      <c r="J31" s="11"/>
      <c r="K31" s="11"/>
      <c r="L31" s="11"/>
      <c r="M31" s="11"/>
      <c r="N31" s="11"/>
      <c r="O31" s="11"/>
      <c r="P31" s="11"/>
      <c r="Q31" s="11"/>
      <c r="R31" s="11"/>
      <c r="S31" s="11"/>
    </row>
    <row r="32" customFormat="false" ht="18" hidden="false" customHeight="true" outlineLevel="0" collapsed="false">
      <c r="A32" s="12" t="n">
        <v>28</v>
      </c>
      <c r="B32" s="13" t="s">
        <v>71</v>
      </c>
      <c r="C32" s="14" t="s">
        <v>57</v>
      </c>
      <c r="D32" s="15" t="n">
        <v>10</v>
      </c>
      <c r="E32" s="15" t="n">
        <v>1</v>
      </c>
      <c r="F32" s="17"/>
      <c r="G32" s="17"/>
      <c r="H32" s="17"/>
      <c r="I32" s="17"/>
      <c r="J32" s="17"/>
      <c r="K32" s="17"/>
      <c r="L32" s="17"/>
      <c r="M32" s="17"/>
      <c r="N32" s="17"/>
      <c r="O32" s="16"/>
      <c r="P32" s="17"/>
      <c r="Q32" s="17"/>
      <c r="R32" s="17"/>
      <c r="S32" s="17"/>
    </row>
    <row r="33" customFormat="false" ht="18" hidden="false" customHeight="true" outlineLevel="0" collapsed="false">
      <c r="A33" s="18" t="n">
        <v>29</v>
      </c>
      <c r="B33" s="19" t="s">
        <v>72</v>
      </c>
      <c r="C33" s="20" t="s">
        <v>57</v>
      </c>
      <c r="D33" s="21" t="n">
        <v>10</v>
      </c>
      <c r="E33" s="21" t="n">
        <v>1</v>
      </c>
      <c r="F33" s="22"/>
      <c r="G33" s="22"/>
      <c r="H33" s="22"/>
      <c r="I33" s="22"/>
      <c r="J33" s="22"/>
      <c r="K33" s="22"/>
      <c r="L33" s="22"/>
      <c r="M33" s="22"/>
      <c r="N33" s="22"/>
      <c r="O33" s="16"/>
      <c r="P33" s="22"/>
      <c r="Q33" s="22"/>
      <c r="R33" s="22"/>
      <c r="S33" s="22"/>
    </row>
    <row r="34" customFormat="false" ht="18" hidden="false" customHeight="true" outlineLevel="0" collapsed="false">
      <c r="A34" s="12" t="n">
        <v>30</v>
      </c>
      <c r="B34" s="13" t="s">
        <v>73</v>
      </c>
      <c r="C34" s="14" t="s">
        <v>40</v>
      </c>
      <c r="D34" s="15" t="n">
        <v>10</v>
      </c>
      <c r="E34" s="15" t="n">
        <v>1</v>
      </c>
      <c r="F34" s="17"/>
      <c r="G34" s="17"/>
      <c r="H34" s="17"/>
      <c r="I34" s="17"/>
      <c r="J34" s="17"/>
      <c r="K34" s="17"/>
      <c r="L34" s="17"/>
      <c r="M34" s="17"/>
      <c r="N34" s="17"/>
      <c r="O34" s="16"/>
      <c r="P34" s="17"/>
      <c r="Q34" s="17"/>
      <c r="R34" s="17"/>
      <c r="S34" s="17"/>
    </row>
    <row r="35" customFormat="false" ht="18" hidden="false" customHeight="true" outlineLevel="0" collapsed="false">
      <c r="A35" s="18" t="n">
        <v>31</v>
      </c>
      <c r="B35" s="19" t="s">
        <v>74</v>
      </c>
      <c r="C35" s="20" t="s">
        <v>40</v>
      </c>
      <c r="D35" s="21" t="n">
        <v>10</v>
      </c>
      <c r="E35" s="21" t="n">
        <v>1</v>
      </c>
      <c r="F35" s="22"/>
      <c r="G35" s="22"/>
      <c r="H35" s="22"/>
      <c r="I35" s="22"/>
      <c r="J35" s="22"/>
      <c r="K35" s="22"/>
      <c r="L35" s="22"/>
      <c r="M35" s="22"/>
      <c r="N35" s="22"/>
      <c r="O35" s="16"/>
      <c r="P35" s="22"/>
      <c r="Q35" s="22"/>
      <c r="R35" s="22"/>
      <c r="S35" s="22"/>
    </row>
    <row r="36" customFormat="false" ht="19.5" hidden="false" customHeight="true" outlineLevel="0" collapsed="false">
      <c r="A36" s="7"/>
      <c r="B36" s="8" t="s">
        <v>75</v>
      </c>
      <c r="C36" s="9" t="s">
        <v>76</v>
      </c>
      <c r="D36" s="10"/>
      <c r="E36" s="10"/>
      <c r="F36" s="11"/>
      <c r="G36" s="11"/>
      <c r="H36" s="11"/>
      <c r="I36" s="11"/>
      <c r="J36" s="11"/>
      <c r="K36" s="11"/>
      <c r="L36" s="11"/>
      <c r="M36" s="11"/>
      <c r="N36" s="11"/>
      <c r="O36" s="11"/>
      <c r="P36" s="11"/>
      <c r="Q36" s="11"/>
      <c r="R36" s="11"/>
      <c r="S36" s="11"/>
    </row>
    <row r="37" customFormat="false" ht="18" hidden="false" customHeight="true" outlineLevel="0" collapsed="false">
      <c r="A37" s="18" t="n">
        <v>33</v>
      </c>
      <c r="B37" s="19" t="s">
        <v>77</v>
      </c>
      <c r="C37" s="20" t="s">
        <v>49</v>
      </c>
      <c r="D37" s="21" t="n">
        <v>11</v>
      </c>
      <c r="E37" s="21" t="n">
        <v>1</v>
      </c>
      <c r="F37" s="22"/>
      <c r="G37" s="22"/>
      <c r="H37" s="22"/>
      <c r="I37" s="22"/>
      <c r="J37" s="22"/>
      <c r="K37" s="22"/>
      <c r="L37" s="22"/>
      <c r="M37" s="22"/>
      <c r="N37" s="22"/>
      <c r="O37" s="22"/>
      <c r="P37" s="16"/>
      <c r="Q37" s="22"/>
      <c r="R37" s="22"/>
      <c r="S37" s="22"/>
    </row>
    <row r="38" customFormat="false" ht="18" hidden="false" customHeight="true" outlineLevel="0" collapsed="false">
      <c r="A38" s="12" t="n">
        <v>34</v>
      </c>
      <c r="B38" s="13" t="s">
        <v>78</v>
      </c>
      <c r="C38" s="14" t="s">
        <v>51</v>
      </c>
      <c r="D38" s="15" t="n">
        <v>11</v>
      </c>
      <c r="E38" s="15" t="n">
        <v>1</v>
      </c>
      <c r="F38" s="17"/>
      <c r="G38" s="17"/>
      <c r="H38" s="17"/>
      <c r="I38" s="17"/>
      <c r="J38" s="17"/>
      <c r="K38" s="17"/>
      <c r="L38" s="17"/>
      <c r="M38" s="17"/>
      <c r="N38" s="17"/>
      <c r="O38" s="17"/>
      <c r="P38" s="16"/>
      <c r="Q38" s="17"/>
      <c r="R38" s="17"/>
      <c r="S38" s="17"/>
    </row>
    <row r="39" customFormat="false" ht="18" hidden="false" customHeight="true" outlineLevel="0" collapsed="false">
      <c r="A39" s="18" t="n">
        <v>35</v>
      </c>
      <c r="B39" s="19" t="s">
        <v>79</v>
      </c>
      <c r="C39" s="20" t="s">
        <v>57</v>
      </c>
      <c r="D39" s="21" t="n">
        <v>11</v>
      </c>
      <c r="E39" s="21" t="n">
        <v>1</v>
      </c>
      <c r="F39" s="22"/>
      <c r="G39" s="22"/>
      <c r="H39" s="22"/>
      <c r="I39" s="22"/>
      <c r="J39" s="22"/>
      <c r="K39" s="22"/>
      <c r="L39" s="22"/>
      <c r="M39" s="22"/>
      <c r="N39" s="22"/>
      <c r="O39" s="22"/>
      <c r="P39" s="16"/>
      <c r="Q39" s="22"/>
      <c r="R39" s="22"/>
      <c r="S39" s="22"/>
    </row>
    <row r="40" customFormat="false" ht="18" hidden="false" customHeight="true" outlineLevel="0" collapsed="false">
      <c r="A40" s="12" t="n">
        <v>36</v>
      </c>
      <c r="B40" s="13" t="s">
        <v>80</v>
      </c>
      <c r="C40" s="14" t="s">
        <v>81</v>
      </c>
      <c r="D40" s="15" t="n">
        <v>11</v>
      </c>
      <c r="E40" s="15" t="n">
        <v>1</v>
      </c>
      <c r="F40" s="17"/>
      <c r="G40" s="17"/>
      <c r="H40" s="17"/>
      <c r="I40" s="17"/>
      <c r="J40" s="17"/>
      <c r="K40" s="17"/>
      <c r="L40" s="17"/>
      <c r="M40" s="17"/>
      <c r="N40" s="17"/>
      <c r="O40" s="17"/>
      <c r="P40" s="16"/>
      <c r="Q40" s="17"/>
      <c r="R40" s="17"/>
      <c r="S40" s="17"/>
    </row>
    <row r="41" customFormat="false" ht="19.5" hidden="false" customHeight="true" outlineLevel="0" collapsed="false">
      <c r="A41" s="7"/>
      <c r="B41" s="8" t="s">
        <v>82</v>
      </c>
      <c r="C41" s="9" t="s">
        <v>76</v>
      </c>
      <c r="D41" s="10"/>
      <c r="E41" s="10"/>
      <c r="F41" s="11"/>
      <c r="G41" s="11"/>
      <c r="H41" s="11"/>
      <c r="I41" s="11"/>
      <c r="J41" s="11"/>
      <c r="K41" s="11"/>
      <c r="L41" s="11"/>
      <c r="M41" s="11"/>
      <c r="N41" s="11"/>
      <c r="O41" s="11"/>
      <c r="P41" s="11"/>
      <c r="Q41" s="11"/>
      <c r="R41" s="11"/>
      <c r="S41" s="11"/>
    </row>
    <row r="42" customFormat="false" ht="18" hidden="false" customHeight="true" outlineLevel="0" collapsed="false">
      <c r="A42" s="12" t="n">
        <v>38</v>
      </c>
      <c r="B42" s="13" t="s">
        <v>83</v>
      </c>
      <c r="C42" s="14" t="s">
        <v>40</v>
      </c>
      <c r="D42" s="15" t="n">
        <v>12</v>
      </c>
      <c r="E42" s="15" t="n">
        <v>1</v>
      </c>
      <c r="F42" s="17"/>
      <c r="G42" s="17"/>
      <c r="H42" s="17"/>
      <c r="I42" s="17"/>
      <c r="J42" s="17"/>
      <c r="K42" s="17"/>
      <c r="L42" s="17"/>
      <c r="M42" s="17"/>
      <c r="N42" s="17"/>
      <c r="O42" s="17"/>
      <c r="P42" s="17"/>
      <c r="Q42" s="16"/>
      <c r="R42" s="17"/>
      <c r="S42" s="17"/>
    </row>
    <row r="43" customFormat="false" ht="18" hidden="false" customHeight="true" outlineLevel="0" collapsed="false">
      <c r="A43" s="18" t="n">
        <v>39</v>
      </c>
      <c r="B43" s="19" t="s">
        <v>84</v>
      </c>
      <c r="C43" s="20" t="s">
        <v>51</v>
      </c>
      <c r="D43" s="21" t="n">
        <v>12</v>
      </c>
      <c r="E43" s="21" t="n">
        <v>1</v>
      </c>
      <c r="F43" s="22"/>
      <c r="G43" s="22"/>
      <c r="H43" s="22"/>
      <c r="I43" s="22"/>
      <c r="J43" s="22"/>
      <c r="K43" s="22"/>
      <c r="L43" s="22"/>
      <c r="M43" s="22"/>
      <c r="N43" s="22"/>
      <c r="O43" s="22"/>
      <c r="P43" s="22"/>
      <c r="Q43" s="16"/>
      <c r="R43" s="22"/>
      <c r="S43" s="22"/>
    </row>
    <row r="44" customFormat="false" ht="18" hidden="false" customHeight="true" outlineLevel="0" collapsed="false">
      <c r="A44" s="12" t="n">
        <v>40</v>
      </c>
      <c r="B44" s="13" t="s">
        <v>85</v>
      </c>
      <c r="C44" s="14" t="s">
        <v>38</v>
      </c>
      <c r="D44" s="15" t="n">
        <v>12</v>
      </c>
      <c r="E44" s="15" t="n">
        <v>1</v>
      </c>
      <c r="F44" s="17"/>
      <c r="G44" s="17"/>
      <c r="H44" s="17"/>
      <c r="I44" s="17"/>
      <c r="J44" s="17"/>
      <c r="K44" s="17"/>
      <c r="L44" s="17"/>
      <c r="M44" s="17"/>
      <c r="N44" s="17"/>
      <c r="O44" s="17"/>
      <c r="P44" s="17"/>
      <c r="Q44" s="16"/>
      <c r="R44" s="17"/>
      <c r="S44" s="17"/>
    </row>
    <row r="45" customFormat="false" ht="18" hidden="false" customHeight="true" outlineLevel="0" collapsed="false">
      <c r="A45" s="18" t="n">
        <v>41</v>
      </c>
      <c r="B45" s="19" t="s">
        <v>86</v>
      </c>
      <c r="C45" s="20" t="s">
        <v>81</v>
      </c>
      <c r="D45" s="21" t="n">
        <v>12</v>
      </c>
      <c r="E45" s="21" t="n">
        <v>1</v>
      </c>
      <c r="F45" s="22"/>
      <c r="G45" s="22"/>
      <c r="H45" s="22"/>
      <c r="I45" s="22"/>
      <c r="J45" s="22"/>
      <c r="K45" s="22"/>
      <c r="L45" s="22"/>
      <c r="M45" s="22"/>
      <c r="N45" s="22"/>
      <c r="O45" s="22"/>
      <c r="P45" s="22"/>
      <c r="Q45" s="16"/>
      <c r="R45" s="22"/>
      <c r="S45" s="22"/>
    </row>
    <row r="46" customFormat="false" ht="19.5" hidden="false" customHeight="true" outlineLevel="0" collapsed="false">
      <c r="A46" s="7"/>
      <c r="B46" s="8" t="s">
        <v>87</v>
      </c>
      <c r="C46" s="9"/>
      <c r="D46" s="10"/>
      <c r="E46" s="10"/>
      <c r="F46" s="11"/>
      <c r="G46" s="11"/>
      <c r="H46" s="11"/>
      <c r="I46" s="11"/>
      <c r="J46" s="11"/>
      <c r="K46" s="11"/>
      <c r="L46" s="11"/>
      <c r="M46" s="11"/>
      <c r="N46" s="11"/>
      <c r="O46" s="11"/>
      <c r="P46" s="11"/>
      <c r="Q46" s="11"/>
      <c r="R46" s="11"/>
      <c r="S46" s="11"/>
    </row>
    <row r="47" customFormat="false" ht="18" hidden="false" customHeight="true" outlineLevel="0" collapsed="false">
      <c r="A47" s="18" t="n">
        <v>43</v>
      </c>
      <c r="B47" s="19" t="s">
        <v>88</v>
      </c>
      <c r="C47" s="20" t="s">
        <v>89</v>
      </c>
      <c r="D47" s="21" t="n">
        <v>4</v>
      </c>
      <c r="E47" s="21" t="s">
        <v>90</v>
      </c>
      <c r="F47" s="22"/>
      <c r="G47" s="22"/>
      <c r="H47" s="22"/>
      <c r="I47" s="23" t="s">
        <v>91</v>
      </c>
      <c r="J47" s="22"/>
      <c r="K47" s="22"/>
      <c r="L47" s="22"/>
      <c r="M47" s="22"/>
      <c r="N47" s="22"/>
      <c r="O47" s="22"/>
      <c r="P47" s="22"/>
      <c r="Q47" s="22"/>
      <c r="R47" s="22"/>
      <c r="S47" s="22"/>
    </row>
    <row r="48" customFormat="false" ht="18" hidden="false" customHeight="true" outlineLevel="0" collapsed="false">
      <c r="A48" s="12" t="n">
        <v>44</v>
      </c>
      <c r="B48" s="13" t="s">
        <v>92</v>
      </c>
      <c r="C48" s="14" t="s">
        <v>40</v>
      </c>
      <c r="D48" s="15" t="n">
        <v>7</v>
      </c>
      <c r="E48" s="15" t="s">
        <v>90</v>
      </c>
      <c r="F48" s="17"/>
      <c r="G48" s="17"/>
      <c r="H48" s="17"/>
      <c r="I48" s="17"/>
      <c r="J48" s="17"/>
      <c r="K48" s="17"/>
      <c r="L48" s="23" t="s">
        <v>91</v>
      </c>
      <c r="M48" s="17"/>
      <c r="N48" s="17"/>
      <c r="O48" s="17"/>
      <c r="P48" s="17"/>
      <c r="Q48" s="17"/>
      <c r="R48" s="17"/>
      <c r="S48" s="17"/>
    </row>
    <row r="49" customFormat="false" ht="18" hidden="false" customHeight="true" outlineLevel="0" collapsed="false">
      <c r="A49" s="18" t="n">
        <v>45</v>
      </c>
      <c r="B49" s="19" t="s">
        <v>93</v>
      </c>
      <c r="C49" s="20" t="s">
        <v>51</v>
      </c>
      <c r="D49" s="21" t="n">
        <v>9</v>
      </c>
      <c r="E49" s="21" t="s">
        <v>90</v>
      </c>
      <c r="F49" s="22"/>
      <c r="G49" s="22"/>
      <c r="H49" s="22"/>
      <c r="I49" s="22"/>
      <c r="J49" s="22"/>
      <c r="K49" s="22"/>
      <c r="L49" s="22"/>
      <c r="M49" s="22"/>
      <c r="N49" s="23" t="s">
        <v>91</v>
      </c>
      <c r="O49" s="22"/>
      <c r="P49" s="22"/>
      <c r="Q49" s="22"/>
      <c r="R49" s="22"/>
      <c r="S49" s="22"/>
    </row>
    <row r="50" customFormat="false" ht="18" hidden="false" customHeight="true" outlineLevel="0" collapsed="false">
      <c r="A50" s="12" t="n">
        <v>46</v>
      </c>
      <c r="B50" s="13" t="s">
        <v>94</v>
      </c>
      <c r="C50" s="14" t="s">
        <v>81</v>
      </c>
      <c r="D50" s="15" t="n">
        <v>11</v>
      </c>
      <c r="E50" s="15" t="s">
        <v>90</v>
      </c>
      <c r="F50" s="17"/>
      <c r="G50" s="17"/>
      <c r="H50" s="17"/>
      <c r="I50" s="17"/>
      <c r="J50" s="17"/>
      <c r="K50" s="17"/>
      <c r="L50" s="17"/>
      <c r="M50" s="17"/>
      <c r="N50" s="17"/>
      <c r="O50" s="17"/>
      <c r="P50" s="23" t="s">
        <v>91</v>
      </c>
      <c r="Q50" s="17"/>
      <c r="R50" s="17"/>
      <c r="S50" s="17"/>
    </row>
    <row r="51" customFormat="false" ht="18" hidden="false" customHeight="true" outlineLevel="0" collapsed="false">
      <c r="A51" s="18" t="n">
        <v>47</v>
      </c>
      <c r="B51" s="19" t="s">
        <v>95</v>
      </c>
      <c r="C51" s="20" t="s">
        <v>38</v>
      </c>
      <c r="D51" s="21" t="n">
        <v>12</v>
      </c>
      <c r="E51" s="21" t="s">
        <v>90</v>
      </c>
      <c r="F51" s="22"/>
      <c r="G51" s="22"/>
      <c r="H51" s="22"/>
      <c r="I51" s="22"/>
      <c r="J51" s="22"/>
      <c r="K51" s="22"/>
      <c r="L51" s="22"/>
      <c r="M51" s="22"/>
      <c r="N51" s="22"/>
      <c r="O51" s="22"/>
      <c r="P51" s="22"/>
      <c r="Q51" s="23" t="s">
        <v>91</v>
      </c>
      <c r="R51" s="22"/>
      <c r="S51" s="22"/>
    </row>
    <row r="53" customFormat="false" ht="15" hidden="false" customHeight="false" outlineLevel="0" collapsed="false">
      <c r="A53" s="24" t="s">
        <v>96</v>
      </c>
      <c r="B53" s="24"/>
      <c r="C53" s="24"/>
      <c r="D53" s="24"/>
      <c r="E53" s="24"/>
    </row>
    <row r="54" customFormat="false" ht="15" hidden="false" customHeight="false" outlineLevel="0" collapsed="false">
      <c r="A54" s="25"/>
      <c r="B54" s="26" t="s">
        <v>97</v>
      </c>
      <c r="D54" s="27"/>
      <c r="E54" s="26" t="s">
        <v>98</v>
      </c>
      <c r="G54" s="25"/>
      <c r="H54" s="26" t="s">
        <v>99</v>
      </c>
      <c r="J54" s="28"/>
      <c r="K54" s="26" t="s">
        <v>100</v>
      </c>
    </row>
    <row r="56" customFormat="false" ht="30" hidden="false" customHeight="true" outlineLevel="0" collapsed="false">
      <c r="A56" s="29" t="s">
        <v>101</v>
      </c>
      <c r="B56" s="29"/>
      <c r="C56" s="29"/>
      <c r="D56" s="29"/>
      <c r="E56" s="29"/>
      <c r="F56" s="29"/>
      <c r="G56" s="29"/>
      <c r="H56" s="29"/>
      <c r="I56" s="29"/>
      <c r="J56" s="29"/>
      <c r="K56" s="29"/>
      <c r="L56" s="29"/>
      <c r="M56" s="29"/>
      <c r="N56" s="29"/>
      <c r="O56" s="29"/>
      <c r="P56" s="29"/>
      <c r="Q56" s="29"/>
      <c r="R56" s="29"/>
      <c r="S56" s="29"/>
    </row>
  </sheetData>
  <mergeCells count="4">
    <mergeCell ref="A1:S1"/>
    <mergeCell ref="A2:S2"/>
    <mergeCell ref="A53:E53"/>
    <mergeCell ref="A56:S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7" min="6" style="0" width="16"/>
    <col collapsed="false" customWidth="true" hidden="false" outlineLevel="0" max="8" min="8" style="0" width="18"/>
    <col collapsed="false" customWidth="true" hidden="false" outlineLevel="0" max="9" min="9" style="0" width="22"/>
  </cols>
  <sheetData>
    <row r="1" customFormat="false" ht="30" hidden="false" customHeight="true" outlineLevel="0" collapsed="false">
      <c r="A1" s="1" t="s">
        <v>102</v>
      </c>
      <c r="B1" s="1"/>
      <c r="C1" s="1"/>
      <c r="D1" s="1"/>
      <c r="E1" s="1"/>
      <c r="F1" s="1"/>
      <c r="G1" s="1"/>
      <c r="H1" s="1"/>
      <c r="I1" s="1"/>
    </row>
    <row r="2" customFormat="false" ht="21.75" hidden="false" customHeight="true" outlineLevel="0" collapsed="false">
      <c r="A2" s="30" t="s">
        <v>103</v>
      </c>
      <c r="B2" s="30"/>
      <c r="C2" s="30"/>
      <c r="D2" s="30"/>
      <c r="E2" s="30"/>
      <c r="F2" s="30"/>
      <c r="G2" s="30"/>
      <c r="H2" s="30"/>
      <c r="I2" s="30"/>
    </row>
    <row r="3" customFormat="false" ht="18" hidden="false" customHeight="true" outlineLevel="0" collapsed="false">
      <c r="A3" s="31" t="s">
        <v>104</v>
      </c>
      <c r="B3" s="31"/>
      <c r="C3" s="31"/>
      <c r="D3" s="31"/>
      <c r="E3" s="31"/>
      <c r="F3" s="31"/>
      <c r="G3" s="31"/>
      <c r="H3" s="31"/>
      <c r="I3" s="31"/>
    </row>
    <row r="4" customFormat="false" ht="15.75" hidden="false" customHeight="true" outlineLevel="0" collapsed="false">
      <c r="A4" s="32"/>
      <c r="B4" s="33" t="s">
        <v>105</v>
      </c>
      <c r="C4" s="33"/>
      <c r="D4" s="34" t="s">
        <v>106</v>
      </c>
      <c r="E4" s="34"/>
      <c r="F4" s="35" t="s">
        <v>107</v>
      </c>
      <c r="G4" s="35"/>
      <c r="H4" s="35"/>
      <c r="I4" s="35"/>
    </row>
    <row r="5" customFormat="false" ht="15.75" hidden="false" customHeight="true" outlineLevel="0" collapsed="false">
      <c r="A5" s="32"/>
      <c r="B5" s="33" t="s">
        <v>108</v>
      </c>
      <c r="C5" s="33"/>
      <c r="D5" s="34" t="s">
        <v>109</v>
      </c>
      <c r="E5" s="34"/>
      <c r="F5" s="35" t="s">
        <v>110</v>
      </c>
      <c r="G5" s="35"/>
      <c r="H5" s="35"/>
      <c r="I5" s="35"/>
    </row>
    <row r="6" customFormat="false" ht="15.75" hidden="false" customHeight="true" outlineLevel="0" collapsed="false">
      <c r="A6" s="32"/>
      <c r="B6" s="33" t="s">
        <v>111</v>
      </c>
      <c r="C6" s="33"/>
      <c r="D6" s="34" t="s">
        <v>112</v>
      </c>
      <c r="E6" s="34"/>
      <c r="F6" s="35" t="s">
        <v>113</v>
      </c>
      <c r="G6" s="35"/>
      <c r="H6" s="35"/>
      <c r="I6" s="35"/>
    </row>
    <row r="7" customFormat="false" ht="15.75" hidden="false" customHeight="true" outlineLevel="0" collapsed="false">
      <c r="A7" s="32"/>
      <c r="B7" s="33" t="s">
        <v>114</v>
      </c>
      <c r="C7" s="33"/>
      <c r="D7" s="34" t="s">
        <v>115</v>
      </c>
      <c r="E7" s="34"/>
      <c r="F7" s="35" t="s">
        <v>116</v>
      </c>
      <c r="G7" s="35"/>
      <c r="H7" s="35"/>
      <c r="I7" s="35"/>
    </row>
    <row r="8" customFormat="false" ht="15.75" hidden="false" customHeight="true" outlineLevel="0" collapsed="false">
      <c r="A8" s="32"/>
      <c r="B8" s="33" t="s">
        <v>117</v>
      </c>
      <c r="C8" s="33"/>
      <c r="D8" s="34" t="s">
        <v>118</v>
      </c>
      <c r="E8" s="34"/>
      <c r="F8" s="35" t="s">
        <v>119</v>
      </c>
      <c r="G8" s="35"/>
      <c r="H8" s="35"/>
      <c r="I8" s="35"/>
    </row>
    <row r="9" customFormat="false" ht="15.75" hidden="false" customHeight="true" outlineLevel="0" collapsed="false">
      <c r="A9" s="32"/>
      <c r="B9" s="33" t="s">
        <v>120</v>
      </c>
      <c r="C9" s="33"/>
      <c r="D9" s="34" t="s">
        <v>121</v>
      </c>
      <c r="E9" s="34"/>
      <c r="F9" s="35" t="s">
        <v>122</v>
      </c>
      <c r="G9" s="35"/>
      <c r="H9" s="35"/>
      <c r="I9" s="35"/>
    </row>
    <row r="10" customFormat="false" ht="15.75" hidden="false" customHeight="true" outlineLevel="0" collapsed="false">
      <c r="A10" s="32"/>
      <c r="B10" s="33" t="s">
        <v>123</v>
      </c>
      <c r="C10" s="33"/>
      <c r="D10" s="34" t="s">
        <v>124</v>
      </c>
      <c r="E10" s="34"/>
      <c r="F10" s="35" t="s">
        <v>125</v>
      </c>
      <c r="G10" s="35"/>
      <c r="H10" s="35"/>
      <c r="I10" s="35"/>
    </row>
    <row r="12" customFormat="false" ht="27.75" hidden="false" customHeight="true" outlineLevel="0" collapsed="false">
      <c r="A12" s="3" t="s">
        <v>2</v>
      </c>
      <c r="B12" s="3" t="s">
        <v>126</v>
      </c>
      <c r="C12" s="3" t="s">
        <v>127</v>
      </c>
      <c r="D12" s="3" t="s">
        <v>128</v>
      </c>
      <c r="E12" s="3" t="s">
        <v>129</v>
      </c>
      <c r="F12" s="3" t="s">
        <v>130</v>
      </c>
      <c r="G12" s="3" t="s">
        <v>131</v>
      </c>
      <c r="H12" s="3" t="s">
        <v>132</v>
      </c>
      <c r="I12" s="3" t="s">
        <v>133</v>
      </c>
    </row>
    <row r="13" customFormat="false" ht="19.5" hidden="false" customHeight="true" outlineLevel="0" collapsed="false">
      <c r="A13" s="36" t="s">
        <v>134</v>
      </c>
      <c r="B13" s="36"/>
      <c r="C13" s="36"/>
      <c r="D13" s="36"/>
      <c r="E13" s="36"/>
      <c r="F13" s="36"/>
      <c r="G13" s="36"/>
      <c r="H13" s="36"/>
      <c r="I13" s="36"/>
    </row>
    <row r="14" customFormat="false" ht="32.8" hidden="false" customHeight="false" outlineLevel="0" collapsed="false">
      <c r="A14" s="37" t="n">
        <v>1</v>
      </c>
      <c r="B14" s="38" t="s">
        <v>135</v>
      </c>
      <c r="C14" s="38" t="s">
        <v>136</v>
      </c>
      <c r="D14" s="38" t="s">
        <v>137</v>
      </c>
      <c r="E14" s="39" t="n">
        <v>1</v>
      </c>
      <c r="F14" s="40" t="n">
        <v>1641.6</v>
      </c>
      <c r="G14" s="40" t="n">
        <f aca="false">E14*F14</f>
        <v>1641.6</v>
      </c>
      <c r="H14" s="41" t="n">
        <f aca="false">G14*17</f>
        <v>27907.2</v>
      </c>
      <c r="I14" s="42" t="s">
        <v>138</v>
      </c>
    </row>
    <row r="15" customFormat="false" ht="22.35" hidden="false" customHeight="false" outlineLevel="0" collapsed="false">
      <c r="A15" s="43" t="n">
        <v>2</v>
      </c>
      <c r="B15" s="44" t="s">
        <v>139</v>
      </c>
      <c r="C15" s="44" t="s">
        <v>140</v>
      </c>
      <c r="D15" s="44" t="s">
        <v>137</v>
      </c>
      <c r="E15" s="45" t="n">
        <v>1</v>
      </c>
      <c r="F15" s="46" t="n">
        <v>357</v>
      </c>
      <c r="G15" s="46" t="n">
        <f aca="false">E15*F15</f>
        <v>357</v>
      </c>
      <c r="H15" s="47" t="n">
        <f aca="false">G15*17</f>
        <v>6069</v>
      </c>
      <c r="I15" s="48" t="s">
        <v>141</v>
      </c>
    </row>
    <row r="16" customFormat="false" ht="22.35" hidden="false" customHeight="false" outlineLevel="0" collapsed="false">
      <c r="A16" s="37" t="n">
        <v>3</v>
      </c>
      <c r="B16" s="38" t="s">
        <v>142</v>
      </c>
      <c r="C16" s="38" t="s">
        <v>143</v>
      </c>
      <c r="D16" s="38" t="s">
        <v>144</v>
      </c>
      <c r="E16" s="39" t="n">
        <v>6</v>
      </c>
      <c r="F16" s="40" t="n">
        <v>10</v>
      </c>
      <c r="G16" s="40" t="n">
        <f aca="false">E16*F16</f>
        <v>60</v>
      </c>
      <c r="H16" s="41" t="n">
        <f aca="false">G16*17</f>
        <v>1020</v>
      </c>
      <c r="I16" s="42" t="s">
        <v>145</v>
      </c>
    </row>
    <row r="17" customFormat="false" ht="22.35" hidden="false" customHeight="false" outlineLevel="0" collapsed="false">
      <c r="A17" s="43" t="n">
        <v>4</v>
      </c>
      <c r="B17" s="44" t="s">
        <v>146</v>
      </c>
      <c r="C17" s="44" t="s">
        <v>147</v>
      </c>
      <c r="D17" s="44" t="s">
        <v>148</v>
      </c>
      <c r="E17" s="45" t="n">
        <v>10</v>
      </c>
      <c r="F17" s="46" t="n">
        <v>0.5</v>
      </c>
      <c r="G17" s="46" t="n">
        <f aca="false">E17*F17</f>
        <v>5</v>
      </c>
      <c r="H17" s="47" t="n">
        <f aca="false">G17*17</f>
        <v>85</v>
      </c>
      <c r="I17" s="48" t="s">
        <v>149</v>
      </c>
    </row>
    <row r="18" customFormat="false" ht="22.35" hidden="false" customHeight="false" outlineLevel="0" collapsed="false">
      <c r="A18" s="37" t="n">
        <v>5</v>
      </c>
      <c r="B18" s="38" t="s">
        <v>150</v>
      </c>
      <c r="C18" s="38" t="s">
        <v>151</v>
      </c>
      <c r="D18" s="38" t="s">
        <v>152</v>
      </c>
      <c r="E18" s="39" t="n">
        <v>30</v>
      </c>
      <c r="F18" s="40" t="n">
        <v>7.3</v>
      </c>
      <c r="G18" s="40" t="n">
        <f aca="false">E18*F18</f>
        <v>219</v>
      </c>
      <c r="H18" s="41" t="n">
        <f aca="false">G18*17</f>
        <v>3723</v>
      </c>
      <c r="I18" s="42" t="s">
        <v>153</v>
      </c>
    </row>
    <row r="19" customFormat="false" ht="15" hidden="false" customHeight="false" outlineLevel="0" collapsed="false">
      <c r="A19" s="43" t="n">
        <v>6</v>
      </c>
      <c r="B19" s="44" t="s">
        <v>154</v>
      </c>
      <c r="C19" s="44" t="s">
        <v>155</v>
      </c>
      <c r="D19" s="44" t="s">
        <v>156</v>
      </c>
      <c r="E19" s="45" t="n">
        <v>2048</v>
      </c>
      <c r="F19" s="46" t="n">
        <v>0.087</v>
      </c>
      <c r="G19" s="46" t="n">
        <f aca="false">E19*F19</f>
        <v>178.176</v>
      </c>
      <c r="H19" s="47" t="n">
        <f aca="false">G19*17</f>
        <v>3028.992</v>
      </c>
      <c r="I19" s="48" t="s">
        <v>157</v>
      </c>
    </row>
    <row r="20" customFormat="false" ht="19.5" hidden="false" customHeight="true" outlineLevel="0" collapsed="false">
      <c r="A20" s="36" t="s">
        <v>158</v>
      </c>
      <c r="B20" s="36"/>
      <c r="C20" s="36"/>
      <c r="D20" s="36"/>
      <c r="E20" s="36"/>
      <c r="F20" s="36"/>
      <c r="G20" s="36"/>
      <c r="H20" s="36"/>
      <c r="I20" s="36"/>
    </row>
    <row r="21" customFormat="false" ht="22.35" hidden="false" customHeight="false" outlineLevel="0" collapsed="false">
      <c r="A21" s="37" t="n">
        <v>7</v>
      </c>
      <c r="B21" s="38" t="s">
        <v>159</v>
      </c>
      <c r="C21" s="38" t="s">
        <v>160</v>
      </c>
      <c r="D21" s="38" t="s">
        <v>161</v>
      </c>
      <c r="E21" s="39" t="n">
        <v>30</v>
      </c>
      <c r="F21" s="40" t="n">
        <v>185</v>
      </c>
      <c r="G21" s="40" t="n">
        <f aca="false">E21*F21</f>
        <v>5550</v>
      </c>
      <c r="H21" s="41" t="n">
        <f aca="false">G21*17</f>
        <v>94350</v>
      </c>
      <c r="I21" s="42" t="s">
        <v>162</v>
      </c>
    </row>
    <row r="22" customFormat="false" ht="22.35" hidden="false" customHeight="false" outlineLevel="0" collapsed="false">
      <c r="A22" s="43" t="n">
        <v>8</v>
      </c>
      <c r="B22" s="44" t="s">
        <v>163</v>
      </c>
      <c r="C22" s="44" t="s">
        <v>164</v>
      </c>
      <c r="D22" s="44" t="s">
        <v>161</v>
      </c>
      <c r="E22" s="45" t="n">
        <v>15</v>
      </c>
      <c r="F22" s="46" t="n">
        <v>121</v>
      </c>
      <c r="G22" s="46" t="n">
        <f aca="false">E22*F22</f>
        <v>1815</v>
      </c>
      <c r="H22" s="47" t="n">
        <f aca="false">G22*17</f>
        <v>30855</v>
      </c>
      <c r="I22" s="48" t="s">
        <v>165</v>
      </c>
    </row>
    <row r="23" customFormat="false" ht="22.35" hidden="false" customHeight="false" outlineLevel="0" collapsed="false">
      <c r="A23" s="37" t="n">
        <v>9</v>
      </c>
      <c r="B23" s="38" t="s">
        <v>166</v>
      </c>
      <c r="C23" s="38" t="s">
        <v>113</v>
      </c>
      <c r="D23" s="38" t="s">
        <v>167</v>
      </c>
      <c r="E23" s="39" t="n">
        <v>45</v>
      </c>
      <c r="F23" s="40" t="n">
        <v>40.32</v>
      </c>
      <c r="G23" s="40" t="n">
        <f aca="false">E23*F23</f>
        <v>1814.4</v>
      </c>
      <c r="H23" s="41" t="n">
        <f aca="false">G23*17</f>
        <v>30844.8</v>
      </c>
      <c r="I23" s="42" t="s">
        <v>168</v>
      </c>
    </row>
    <row r="24" customFormat="false" ht="19.5" hidden="false" customHeight="true" outlineLevel="0" collapsed="false">
      <c r="A24" s="36" t="s">
        <v>169</v>
      </c>
      <c r="B24" s="36"/>
      <c r="C24" s="36"/>
      <c r="D24" s="36"/>
      <c r="E24" s="36"/>
      <c r="F24" s="36"/>
      <c r="G24" s="36"/>
      <c r="H24" s="36"/>
      <c r="I24" s="36"/>
    </row>
    <row r="25" customFormat="false" ht="22.35" hidden="false" customHeight="false" outlineLevel="0" collapsed="false">
      <c r="A25" s="43" t="n">
        <v>10</v>
      </c>
      <c r="B25" s="44" t="s">
        <v>170</v>
      </c>
      <c r="C25" s="44" t="s">
        <v>171</v>
      </c>
      <c r="D25" s="44" t="s">
        <v>172</v>
      </c>
      <c r="E25" s="45" t="n">
        <v>50</v>
      </c>
      <c r="F25" s="46" t="n">
        <v>9</v>
      </c>
      <c r="G25" s="46" t="n">
        <f aca="false">E25*F25</f>
        <v>450</v>
      </c>
      <c r="H25" s="47" t="n">
        <f aca="false">G25*17</f>
        <v>7650</v>
      </c>
      <c r="I25" s="48" t="s">
        <v>173</v>
      </c>
    </row>
    <row r="26" customFormat="false" ht="22.35" hidden="false" customHeight="false" outlineLevel="0" collapsed="false">
      <c r="A26" s="37" t="n">
        <v>11</v>
      </c>
      <c r="B26" s="38" t="s">
        <v>174</v>
      </c>
      <c r="C26" s="38" t="s">
        <v>175</v>
      </c>
      <c r="D26" s="38" t="s">
        <v>137</v>
      </c>
      <c r="E26" s="39" t="n">
        <v>1</v>
      </c>
      <c r="F26" s="40" t="n">
        <v>139</v>
      </c>
      <c r="G26" s="40" t="n">
        <f aca="false">E26*F26</f>
        <v>139</v>
      </c>
      <c r="H26" s="41" t="n">
        <f aca="false">G26*17</f>
        <v>2363</v>
      </c>
      <c r="I26" s="42" t="s">
        <v>176</v>
      </c>
    </row>
    <row r="27" customFormat="false" ht="19.5" hidden="false" customHeight="true" outlineLevel="0" collapsed="false">
      <c r="A27" s="36" t="s">
        <v>177</v>
      </c>
      <c r="B27" s="36"/>
      <c r="C27" s="36"/>
      <c r="D27" s="36"/>
      <c r="E27" s="36"/>
      <c r="F27" s="36"/>
      <c r="G27" s="36"/>
      <c r="H27" s="36"/>
      <c r="I27" s="36"/>
    </row>
    <row r="28" customFormat="false" ht="22.35" hidden="false" customHeight="false" outlineLevel="0" collapsed="false">
      <c r="A28" s="43" t="n">
        <v>12</v>
      </c>
      <c r="B28" s="44" t="s">
        <v>178</v>
      </c>
      <c r="C28" s="44" t="s">
        <v>179</v>
      </c>
      <c r="D28" s="44" t="s">
        <v>180</v>
      </c>
      <c r="E28" s="45" t="n">
        <v>45</v>
      </c>
      <c r="F28" s="46" t="n">
        <v>15</v>
      </c>
      <c r="G28" s="46" t="n">
        <f aca="false">E28*F28</f>
        <v>675</v>
      </c>
      <c r="H28" s="47" t="n">
        <f aca="false">G28*17</f>
        <v>11475</v>
      </c>
      <c r="I28" s="48" t="s">
        <v>181</v>
      </c>
    </row>
    <row r="29" customFormat="false" ht="22.35" hidden="false" customHeight="false" outlineLevel="0" collapsed="false">
      <c r="A29" s="37" t="n">
        <v>13</v>
      </c>
      <c r="B29" s="38" t="s">
        <v>182</v>
      </c>
      <c r="C29" s="38" t="s">
        <v>183</v>
      </c>
      <c r="D29" s="38" t="s">
        <v>184</v>
      </c>
      <c r="E29" s="39" t="n">
        <v>5</v>
      </c>
      <c r="F29" s="40" t="n">
        <v>10</v>
      </c>
      <c r="G29" s="40" t="n">
        <f aca="false">E29*F29</f>
        <v>50</v>
      </c>
      <c r="H29" s="41" t="n">
        <f aca="false">G29*17</f>
        <v>850</v>
      </c>
      <c r="I29" s="42" t="s">
        <v>185</v>
      </c>
    </row>
    <row r="30" customFormat="false" ht="22.35" hidden="false" customHeight="false" outlineLevel="0" collapsed="false">
      <c r="A30" s="43" t="n">
        <v>14</v>
      </c>
      <c r="B30" s="44" t="s">
        <v>186</v>
      </c>
      <c r="C30" s="44" t="s">
        <v>187</v>
      </c>
      <c r="D30" s="44" t="s">
        <v>180</v>
      </c>
      <c r="E30" s="45" t="n">
        <v>5</v>
      </c>
      <c r="F30" s="46" t="n">
        <v>15</v>
      </c>
      <c r="G30" s="46" t="n">
        <f aca="false">E30*F30</f>
        <v>75</v>
      </c>
      <c r="H30" s="47" t="n">
        <f aca="false">G30*17</f>
        <v>1275</v>
      </c>
      <c r="I30" s="48" t="s">
        <v>188</v>
      </c>
    </row>
    <row r="31" customFormat="false" ht="15" hidden="false" customHeight="false" outlineLevel="0" collapsed="false">
      <c r="A31" s="37" t="n">
        <v>15</v>
      </c>
      <c r="B31" s="38" t="s">
        <v>189</v>
      </c>
      <c r="C31" s="38" t="s">
        <v>190</v>
      </c>
      <c r="D31" s="38" t="s">
        <v>191</v>
      </c>
      <c r="E31" s="39" t="n">
        <v>5</v>
      </c>
      <c r="F31" s="40" t="n">
        <v>0.02</v>
      </c>
      <c r="G31" s="40" t="n">
        <f aca="false">E31*F31</f>
        <v>0.1</v>
      </c>
      <c r="H31" s="41" t="n">
        <f aca="false">G31*17</f>
        <v>1.7</v>
      </c>
      <c r="I31" s="42" t="s">
        <v>192</v>
      </c>
    </row>
    <row r="32" customFormat="false" ht="22.35" hidden="false" customHeight="false" outlineLevel="0" collapsed="false">
      <c r="A32" s="43" t="n">
        <v>16</v>
      </c>
      <c r="B32" s="44" t="s">
        <v>193</v>
      </c>
      <c r="C32" s="44" t="s">
        <v>194</v>
      </c>
      <c r="D32" s="44" t="s">
        <v>195</v>
      </c>
      <c r="E32" s="45" t="n">
        <v>1</v>
      </c>
      <c r="F32" s="46" t="n">
        <v>17</v>
      </c>
      <c r="G32" s="46" t="n">
        <f aca="false">E32*F32</f>
        <v>17</v>
      </c>
      <c r="H32" s="47" t="n">
        <f aca="false">G32*17</f>
        <v>289</v>
      </c>
      <c r="I32" s="48" t="s">
        <v>196</v>
      </c>
    </row>
    <row r="33" customFormat="false" ht="22.35" hidden="false" customHeight="false" outlineLevel="0" collapsed="false">
      <c r="A33" s="37" t="n">
        <v>17</v>
      </c>
      <c r="B33" s="38" t="s">
        <v>197</v>
      </c>
      <c r="C33" s="38" t="s">
        <v>198</v>
      </c>
      <c r="D33" s="38" t="s">
        <v>199</v>
      </c>
      <c r="E33" s="39" t="n">
        <v>300</v>
      </c>
      <c r="F33" s="40" t="n">
        <v>2.46</v>
      </c>
      <c r="G33" s="40" t="n">
        <f aca="false">E33*F33</f>
        <v>738</v>
      </c>
      <c r="H33" s="41" t="n">
        <f aca="false">G33*17</f>
        <v>12546</v>
      </c>
      <c r="I33" s="42" t="s">
        <v>200</v>
      </c>
    </row>
    <row r="34" customFormat="false" ht="19.5" hidden="false" customHeight="true" outlineLevel="0" collapsed="false">
      <c r="A34" s="36" t="s">
        <v>201</v>
      </c>
      <c r="B34" s="36"/>
      <c r="C34" s="36"/>
      <c r="D34" s="36"/>
      <c r="E34" s="36"/>
      <c r="F34" s="36"/>
      <c r="G34" s="36"/>
      <c r="H34" s="36"/>
      <c r="I34" s="36"/>
    </row>
    <row r="35" customFormat="false" ht="22.35" hidden="false" customHeight="false" outlineLevel="0" collapsed="false">
      <c r="A35" s="43" t="n">
        <v>18</v>
      </c>
      <c r="B35" s="44" t="s">
        <v>119</v>
      </c>
      <c r="C35" s="44" t="s">
        <v>202</v>
      </c>
      <c r="D35" s="44" t="s">
        <v>199</v>
      </c>
      <c r="E35" s="45" t="n">
        <v>300</v>
      </c>
      <c r="F35" s="46" t="n">
        <v>2.3</v>
      </c>
      <c r="G35" s="46" t="n">
        <f aca="false">E35*F35</f>
        <v>690</v>
      </c>
      <c r="H35" s="47" t="n">
        <f aca="false">G35*17</f>
        <v>11730</v>
      </c>
      <c r="I35" s="48" t="s">
        <v>203</v>
      </c>
    </row>
    <row r="36" customFormat="false" ht="15" hidden="false" customHeight="false" outlineLevel="0" collapsed="false">
      <c r="A36" s="37" t="n">
        <v>19</v>
      </c>
      <c r="B36" s="38" t="s">
        <v>204</v>
      </c>
      <c r="C36" s="38" t="s">
        <v>205</v>
      </c>
      <c r="D36" s="38" t="s">
        <v>206</v>
      </c>
      <c r="E36" s="39" t="n">
        <v>200</v>
      </c>
      <c r="F36" s="40" t="n">
        <v>0.1</v>
      </c>
      <c r="G36" s="40" t="n">
        <f aca="false">E36*F36</f>
        <v>20</v>
      </c>
      <c r="H36" s="41" t="n">
        <f aca="false">G36*17</f>
        <v>340</v>
      </c>
      <c r="I36" s="42" t="s">
        <v>207</v>
      </c>
    </row>
    <row r="37" customFormat="false" ht="22.35" hidden="false" customHeight="false" outlineLevel="0" collapsed="false">
      <c r="A37" s="43" t="n">
        <v>20</v>
      </c>
      <c r="B37" s="44" t="s">
        <v>208</v>
      </c>
      <c r="C37" s="44" t="s">
        <v>209</v>
      </c>
      <c r="D37" s="44" t="s">
        <v>161</v>
      </c>
      <c r="E37" s="45" t="n">
        <v>30</v>
      </c>
      <c r="F37" s="46" t="n">
        <v>25</v>
      </c>
      <c r="G37" s="46" t="n">
        <f aca="false">E37*F37</f>
        <v>750</v>
      </c>
      <c r="H37" s="47" t="n">
        <f aca="false">G37*17</f>
        <v>12750</v>
      </c>
      <c r="I37" s="48" t="s">
        <v>210</v>
      </c>
    </row>
    <row r="38" customFormat="false" ht="22.35" hidden="false" customHeight="false" outlineLevel="0" collapsed="false">
      <c r="A38" s="37" t="n">
        <v>21</v>
      </c>
      <c r="B38" s="38" t="s">
        <v>211</v>
      </c>
      <c r="C38" s="38" t="s">
        <v>212</v>
      </c>
      <c r="D38" s="38" t="s">
        <v>161</v>
      </c>
      <c r="E38" s="39" t="n">
        <v>10</v>
      </c>
      <c r="F38" s="40" t="n">
        <v>16</v>
      </c>
      <c r="G38" s="40" t="n">
        <f aca="false">E38*F38</f>
        <v>160</v>
      </c>
      <c r="H38" s="41" t="n">
        <f aca="false">G38*17</f>
        <v>2720</v>
      </c>
      <c r="I38" s="42" t="s">
        <v>213</v>
      </c>
    </row>
    <row r="39" customFormat="false" ht="19.5" hidden="false" customHeight="true" outlineLevel="0" collapsed="false">
      <c r="A39" s="36" t="s">
        <v>214</v>
      </c>
      <c r="B39" s="36"/>
      <c r="C39" s="36"/>
      <c r="D39" s="36"/>
      <c r="E39" s="36"/>
      <c r="F39" s="36"/>
      <c r="G39" s="36"/>
      <c r="H39" s="36"/>
      <c r="I39" s="36"/>
    </row>
    <row r="40" customFormat="false" ht="22.35" hidden="false" customHeight="false" outlineLevel="0" collapsed="false">
      <c r="A40" s="43" t="n">
        <v>22</v>
      </c>
      <c r="B40" s="44" t="s">
        <v>215</v>
      </c>
      <c r="C40" s="44" t="s">
        <v>216</v>
      </c>
      <c r="D40" s="44" t="s">
        <v>184</v>
      </c>
      <c r="E40" s="45" t="n">
        <v>6</v>
      </c>
      <c r="F40" s="46" t="n">
        <v>5</v>
      </c>
      <c r="G40" s="46" t="n">
        <f aca="false">E40*F40</f>
        <v>30</v>
      </c>
      <c r="H40" s="47" t="n">
        <f aca="false">G40*17</f>
        <v>510</v>
      </c>
      <c r="I40" s="48" t="s">
        <v>217</v>
      </c>
    </row>
    <row r="41" customFormat="false" ht="15" hidden="false" customHeight="false" outlineLevel="0" collapsed="false">
      <c r="A41" s="37" t="n">
        <v>23</v>
      </c>
      <c r="B41" s="38" t="s">
        <v>218</v>
      </c>
      <c r="C41" s="38" t="s">
        <v>219</v>
      </c>
      <c r="D41" s="38" t="s">
        <v>220</v>
      </c>
      <c r="E41" s="39" t="n">
        <v>0</v>
      </c>
      <c r="F41" s="40" t="n">
        <v>0</v>
      </c>
      <c r="G41" s="40" t="n">
        <v>0</v>
      </c>
      <c r="H41" s="41" t="n">
        <v>0</v>
      </c>
      <c r="I41" s="42" t="s">
        <v>221</v>
      </c>
    </row>
    <row r="42" customFormat="false" ht="15" hidden="false" customHeight="false" outlineLevel="0" collapsed="false">
      <c r="A42" s="43" t="n">
        <v>24</v>
      </c>
      <c r="B42" s="44" t="s">
        <v>222</v>
      </c>
      <c r="C42" s="44" t="s">
        <v>219</v>
      </c>
      <c r="D42" s="44" t="s">
        <v>220</v>
      </c>
      <c r="E42" s="45" t="n">
        <v>0</v>
      </c>
      <c r="F42" s="46" t="n">
        <v>0</v>
      </c>
      <c r="G42" s="46" t="n">
        <v>0</v>
      </c>
      <c r="H42" s="47" t="n">
        <v>0</v>
      </c>
      <c r="I42" s="48" t="s">
        <v>221</v>
      </c>
    </row>
    <row r="43" customFormat="false" ht="15" hidden="false" customHeight="false" outlineLevel="0" collapsed="false">
      <c r="A43" s="37" t="n">
        <v>25</v>
      </c>
      <c r="B43" s="38" t="s">
        <v>223</v>
      </c>
      <c r="C43" s="38" t="s">
        <v>224</v>
      </c>
      <c r="D43" s="38" t="s">
        <v>225</v>
      </c>
      <c r="E43" s="39" t="n">
        <v>500</v>
      </c>
      <c r="F43" s="40" t="n">
        <v>0.002</v>
      </c>
      <c r="G43" s="40" t="n">
        <f aca="false">E43*F43</f>
        <v>1</v>
      </c>
      <c r="H43" s="41" t="n">
        <f aca="false">G43*17</f>
        <v>17</v>
      </c>
      <c r="I43" s="42" t="s">
        <v>226</v>
      </c>
    </row>
    <row r="44" customFormat="false" ht="19.5" hidden="false" customHeight="true" outlineLevel="0" collapsed="false">
      <c r="A44" s="36" t="s">
        <v>227</v>
      </c>
      <c r="B44" s="36"/>
      <c r="C44" s="36"/>
      <c r="D44" s="36"/>
      <c r="E44" s="36"/>
      <c r="F44" s="36"/>
      <c r="G44" s="36"/>
      <c r="H44" s="36"/>
      <c r="I44" s="36"/>
    </row>
    <row r="45" customFormat="false" ht="15" hidden="false" customHeight="false" outlineLevel="0" collapsed="false">
      <c r="A45" s="43" t="n">
        <v>26</v>
      </c>
      <c r="B45" s="44" t="s">
        <v>228</v>
      </c>
      <c r="C45" s="44" t="s">
        <v>229</v>
      </c>
      <c r="D45" s="44" t="s">
        <v>137</v>
      </c>
      <c r="E45" s="45" t="n">
        <v>1</v>
      </c>
      <c r="F45" s="46" t="n">
        <v>20</v>
      </c>
      <c r="G45" s="46" t="n">
        <f aca="false">E45*F45</f>
        <v>20</v>
      </c>
      <c r="H45" s="47" t="n">
        <f aca="false">G45*17</f>
        <v>340</v>
      </c>
      <c r="I45" s="48" t="s">
        <v>230</v>
      </c>
    </row>
    <row r="46" customFormat="false" ht="22.35" hidden="false" customHeight="false" outlineLevel="0" collapsed="false">
      <c r="A46" s="37" t="n">
        <v>27</v>
      </c>
      <c r="B46" s="38" t="s">
        <v>231</v>
      </c>
      <c r="C46" s="38" t="s">
        <v>232</v>
      </c>
      <c r="D46" s="38" t="s">
        <v>233</v>
      </c>
      <c r="E46" s="39" t="n">
        <v>2</v>
      </c>
      <c r="F46" s="40" t="n">
        <v>150</v>
      </c>
      <c r="G46" s="40" t="n">
        <f aca="false">E46*F46</f>
        <v>300</v>
      </c>
      <c r="H46" s="41" t="n">
        <f aca="false">G46*17</f>
        <v>5100</v>
      </c>
      <c r="I46" s="42" t="s">
        <v>234</v>
      </c>
    </row>
    <row r="47" customFormat="false" ht="22.35" hidden="false" customHeight="false" outlineLevel="0" collapsed="false">
      <c r="A47" s="43" t="n">
        <v>28</v>
      </c>
      <c r="B47" s="44" t="s">
        <v>235</v>
      </c>
      <c r="C47" s="44" t="s">
        <v>236</v>
      </c>
      <c r="D47" s="44" t="s">
        <v>237</v>
      </c>
      <c r="E47" s="45" t="n">
        <v>2</v>
      </c>
      <c r="F47" s="46" t="n">
        <v>370</v>
      </c>
      <c r="G47" s="46" t="n">
        <f aca="false">E47*F47</f>
        <v>740</v>
      </c>
      <c r="H47" s="47" t="n">
        <f aca="false">G47*17</f>
        <v>12580</v>
      </c>
      <c r="I47" s="48" t="s">
        <v>238</v>
      </c>
    </row>
    <row r="48" customFormat="false" ht="15" hidden="false" customHeight="false" outlineLevel="0" collapsed="false">
      <c r="A48" s="37" t="n">
        <v>29</v>
      </c>
      <c r="B48" s="38" t="s">
        <v>239</v>
      </c>
      <c r="C48" s="38" t="s">
        <v>240</v>
      </c>
      <c r="D48" s="38" t="s">
        <v>137</v>
      </c>
      <c r="E48" s="39" t="n">
        <v>1</v>
      </c>
      <c r="F48" s="40" t="n">
        <v>55</v>
      </c>
      <c r="G48" s="40" t="n">
        <f aca="false">E48*F48</f>
        <v>55</v>
      </c>
      <c r="H48" s="41" t="n">
        <f aca="false">G48*17</f>
        <v>935</v>
      </c>
      <c r="I48" s="42" t="s">
        <v>241</v>
      </c>
    </row>
    <row r="50" customFormat="false" ht="24" hidden="false" customHeight="true" outlineLevel="0" collapsed="false">
      <c r="A50" s="49" t="s">
        <v>242</v>
      </c>
      <c r="B50" s="49"/>
      <c r="C50" s="49"/>
      <c r="D50" s="49"/>
      <c r="E50" s="49"/>
      <c r="F50" s="49"/>
      <c r="G50" s="50" t="n">
        <f aca="false">SUMIF(G13:G48,"&gt;0")</f>
        <v>16550.276</v>
      </c>
      <c r="H50" s="51" t="n">
        <f aca="false">G50*17</f>
        <v>281354.692</v>
      </c>
      <c r="I50" s="52"/>
    </row>
    <row r="51" customFormat="false" ht="15" hidden="false" customHeight="false" outlineLevel="0" collapsed="false">
      <c r="A51" s="53" t="s">
        <v>243</v>
      </c>
      <c r="B51" s="53"/>
      <c r="C51" s="53"/>
      <c r="D51" s="53"/>
      <c r="E51" s="53"/>
      <c r="F51" s="53"/>
      <c r="G51" s="54" t="n">
        <v>-960</v>
      </c>
      <c r="H51" s="55" t="n">
        <f aca="false">G51*17</f>
        <v>-16320</v>
      </c>
      <c r="I51" s="56"/>
    </row>
    <row r="52" customFormat="false" ht="25.5" hidden="false" customHeight="true" outlineLevel="0" collapsed="false">
      <c r="A52" s="57" t="s">
        <v>244</v>
      </c>
      <c r="B52" s="57"/>
      <c r="C52" s="57"/>
      <c r="D52" s="57"/>
      <c r="E52" s="57"/>
      <c r="F52" s="57"/>
      <c r="G52" s="58" t="n">
        <f aca="false">G50+G51</f>
        <v>15590.276</v>
      </c>
      <c r="H52" s="59" t="n">
        <f aca="false">G52*17</f>
        <v>265034.692</v>
      </c>
      <c r="I52" s="60"/>
    </row>
    <row r="53" customFormat="false" ht="21.75" hidden="false" customHeight="true" outlineLevel="0" collapsed="false">
      <c r="A53" s="61" t="s">
        <v>245</v>
      </c>
      <c r="B53" s="61"/>
      <c r="C53" s="61"/>
      <c r="D53" s="61"/>
      <c r="E53" s="61"/>
      <c r="F53" s="61"/>
      <c r="G53" s="62" t="n">
        <f aca="false">G52*12</f>
        <v>187083.312</v>
      </c>
      <c r="H53" s="63" t="n">
        <f aca="false">G53*17</f>
        <v>3180416.304</v>
      </c>
      <c r="I53" s="64"/>
    </row>
    <row r="55" customFormat="false" ht="51.75" hidden="false" customHeight="true" outlineLevel="0" collapsed="false">
      <c r="A55" s="65" t="s">
        <v>246</v>
      </c>
      <c r="B55" s="65"/>
      <c r="C55" s="65"/>
      <c r="D55" s="65"/>
      <c r="E55" s="65"/>
      <c r="F55" s="65"/>
      <c r="G55" s="65"/>
      <c r="H55" s="65"/>
      <c r="I55" s="65"/>
    </row>
    <row r="57" customFormat="false" ht="15" hidden="false" customHeight="false" outlineLevel="0" collapsed="false">
      <c r="A57" s="66" t="s">
        <v>247</v>
      </c>
      <c r="B57" s="66"/>
      <c r="C57" s="66"/>
      <c r="D57" s="66"/>
      <c r="E57" s="66"/>
    </row>
    <row r="58" customFormat="false" ht="16.5" hidden="false" customHeight="true" outlineLevel="0" collapsed="false">
      <c r="A58" s="44" t="s">
        <v>248</v>
      </c>
      <c r="B58" s="44"/>
      <c r="C58" s="44"/>
      <c r="D58" s="67" t="n">
        <v>2460.8</v>
      </c>
      <c r="E58" s="68" t="n">
        <v>41833.6</v>
      </c>
    </row>
    <row r="59" customFormat="false" ht="16.5" hidden="false" customHeight="true" outlineLevel="0" collapsed="false">
      <c r="A59" s="38" t="s">
        <v>249</v>
      </c>
      <c r="B59" s="38"/>
      <c r="C59" s="38"/>
      <c r="D59" s="69" t="n">
        <v>9179.4</v>
      </c>
      <c r="E59" s="70" t="n">
        <v>156049.8</v>
      </c>
    </row>
    <row r="60" customFormat="false" ht="16.5" hidden="false" customHeight="true" outlineLevel="0" collapsed="false">
      <c r="A60" s="44" t="s">
        <v>250</v>
      </c>
      <c r="B60" s="44"/>
      <c r="C60" s="44"/>
      <c r="D60" s="67" t="n">
        <v>589</v>
      </c>
      <c r="E60" s="68" t="n">
        <v>10013</v>
      </c>
    </row>
    <row r="61" customFormat="false" ht="16.5" hidden="false" customHeight="true" outlineLevel="0" collapsed="false">
      <c r="A61" s="38" t="s">
        <v>251</v>
      </c>
      <c r="B61" s="38"/>
      <c r="C61" s="38"/>
      <c r="D61" s="69" t="n">
        <v>1555.1</v>
      </c>
      <c r="E61" s="70" t="n">
        <v>26436.7</v>
      </c>
    </row>
    <row r="62" customFormat="false" ht="16.5" hidden="false" customHeight="true" outlineLevel="0" collapsed="false">
      <c r="A62" s="44" t="s">
        <v>252</v>
      </c>
      <c r="B62" s="44"/>
      <c r="C62" s="44"/>
      <c r="D62" s="67" t="n">
        <v>1620</v>
      </c>
      <c r="E62" s="68" t="n">
        <v>27540</v>
      </c>
    </row>
    <row r="63" customFormat="false" ht="16.5" hidden="false" customHeight="true" outlineLevel="0" collapsed="false">
      <c r="A63" s="38" t="s">
        <v>253</v>
      </c>
      <c r="B63" s="38"/>
      <c r="C63" s="38"/>
      <c r="D63" s="69" t="n">
        <v>31</v>
      </c>
      <c r="E63" s="70" t="n">
        <v>527</v>
      </c>
    </row>
    <row r="64" customFormat="false" ht="16.5" hidden="false" customHeight="true" outlineLevel="0" collapsed="false">
      <c r="A64" s="44" t="s">
        <v>254</v>
      </c>
      <c r="B64" s="44"/>
      <c r="C64" s="44"/>
      <c r="D64" s="67" t="n">
        <v>1115</v>
      </c>
      <c r="E64" s="68" t="n">
        <v>18955</v>
      </c>
    </row>
    <row r="65" customFormat="false" ht="21.75" hidden="false" customHeight="true" outlineLevel="0" collapsed="false">
      <c r="A65" s="71" t="s">
        <v>255</v>
      </c>
      <c r="B65" s="71"/>
      <c r="C65" s="71"/>
      <c r="D65" s="72" t="n">
        <v>16550.3</v>
      </c>
      <c r="E65" s="73" t="n">
        <v>281355.1</v>
      </c>
    </row>
  </sheetData>
  <mergeCells count="45">
    <mergeCell ref="A1:I1"/>
    <mergeCell ref="A2:I2"/>
    <mergeCell ref="A3:I3"/>
    <mergeCell ref="B4:C4"/>
    <mergeCell ref="D4:E4"/>
    <mergeCell ref="F4:I4"/>
    <mergeCell ref="B5:C5"/>
    <mergeCell ref="D5:E5"/>
    <mergeCell ref="F5:I5"/>
    <mergeCell ref="B6:C6"/>
    <mergeCell ref="D6:E6"/>
    <mergeCell ref="F6:I6"/>
    <mergeCell ref="B7:C7"/>
    <mergeCell ref="D7:E7"/>
    <mergeCell ref="F7:I7"/>
    <mergeCell ref="B8:C8"/>
    <mergeCell ref="D8:E8"/>
    <mergeCell ref="F8:I8"/>
    <mergeCell ref="B9:C9"/>
    <mergeCell ref="D9:E9"/>
    <mergeCell ref="F9:I9"/>
    <mergeCell ref="B10:C10"/>
    <mergeCell ref="D10:E10"/>
    <mergeCell ref="F10:I10"/>
    <mergeCell ref="A13:I13"/>
    <mergeCell ref="A20:I20"/>
    <mergeCell ref="A24:I24"/>
    <mergeCell ref="A27:I27"/>
    <mergeCell ref="A34:I34"/>
    <mergeCell ref="A39:I39"/>
    <mergeCell ref="A44:I44"/>
    <mergeCell ref="A50:F50"/>
    <mergeCell ref="A51:F51"/>
    <mergeCell ref="A52:F52"/>
    <mergeCell ref="A53:F53"/>
    <mergeCell ref="A55:I55"/>
    <mergeCell ref="A57:E57"/>
    <mergeCell ref="A58:C58"/>
    <mergeCell ref="A59:C59"/>
    <mergeCell ref="A60:C60"/>
    <mergeCell ref="A61:C61"/>
    <mergeCell ref="A62:C62"/>
    <mergeCell ref="A63:C63"/>
    <mergeCell ref="A64:C64"/>
    <mergeCell ref="A65:C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20"/>
    <col collapsed="false" customWidth="true" hidden="false" outlineLevel="0" max="4" min="4" style="0" width="12"/>
    <col collapsed="false" customWidth="true" hidden="false" outlineLevel="0" max="6" min="5" style="0" width="16"/>
    <col collapsed="false" customWidth="true" hidden="false" outlineLevel="0" max="7" min="7" style="0" width="20"/>
    <col collapsed="false" customWidth="true" hidden="false" outlineLevel="0" max="8" min="8" style="0" width="22"/>
  </cols>
  <sheetData>
    <row r="1" customFormat="false" ht="30" hidden="false" customHeight="true" outlineLevel="0" collapsed="false">
      <c r="A1" s="74" t="s">
        <v>256</v>
      </c>
      <c r="B1" s="74"/>
      <c r="C1" s="74"/>
      <c r="D1" s="74"/>
      <c r="E1" s="74"/>
      <c r="F1" s="74"/>
      <c r="G1" s="74"/>
      <c r="H1" s="74"/>
    </row>
    <row r="2" customFormat="false" ht="18" hidden="false" customHeight="true" outlineLevel="0" collapsed="false">
      <c r="A2" s="2" t="s">
        <v>257</v>
      </c>
      <c r="B2" s="2"/>
      <c r="C2" s="2"/>
      <c r="D2" s="2"/>
      <c r="E2" s="2"/>
      <c r="F2" s="2"/>
      <c r="G2" s="2"/>
      <c r="H2" s="2"/>
    </row>
    <row r="4" customFormat="false" ht="25.5" hidden="false" customHeight="true" outlineLevel="0" collapsed="false">
      <c r="A4" s="3" t="s">
        <v>2</v>
      </c>
      <c r="B4" s="3" t="s">
        <v>258</v>
      </c>
      <c r="C4" s="3" t="s">
        <v>259</v>
      </c>
      <c r="D4" s="3" t="s">
        <v>260</v>
      </c>
      <c r="E4" s="3" t="s">
        <v>261</v>
      </c>
      <c r="F4" s="3" t="s">
        <v>262</v>
      </c>
      <c r="G4" s="3" t="s">
        <v>263</v>
      </c>
      <c r="H4" s="3" t="s">
        <v>264</v>
      </c>
    </row>
    <row r="5" customFormat="false" ht="19.5" hidden="false" customHeight="true" outlineLevel="0" collapsed="false">
      <c r="A5" s="36" t="s">
        <v>35</v>
      </c>
      <c r="B5" s="36"/>
      <c r="C5" s="36"/>
      <c r="D5" s="36"/>
      <c r="E5" s="36"/>
      <c r="F5" s="36"/>
      <c r="G5" s="36"/>
      <c r="H5" s="36"/>
    </row>
    <row r="6" customFormat="false" ht="18" hidden="false" customHeight="true" outlineLevel="0" collapsed="false">
      <c r="A6" s="75" t="n">
        <v>1</v>
      </c>
      <c r="B6" s="42" t="s">
        <v>265</v>
      </c>
      <c r="C6" s="38" t="s">
        <v>36</v>
      </c>
      <c r="D6" s="39" t="n">
        <v>8</v>
      </c>
      <c r="E6" s="41" t="n">
        <v>18000</v>
      </c>
      <c r="F6" s="41" t="n">
        <f aca="false">D6*E6</f>
        <v>144000</v>
      </c>
      <c r="G6" s="41" t="n">
        <f aca="false">F6*0.16</f>
        <v>23040</v>
      </c>
      <c r="H6" s="76" t="n">
        <f aca="false">F6+G6</f>
        <v>167040</v>
      </c>
    </row>
    <row r="7" customFormat="false" ht="19.5" hidden="false" customHeight="true" outlineLevel="0" collapsed="false">
      <c r="A7" s="36" t="s">
        <v>45</v>
      </c>
      <c r="B7" s="36"/>
      <c r="C7" s="36"/>
      <c r="D7" s="36"/>
      <c r="E7" s="36"/>
      <c r="F7" s="36"/>
      <c r="G7" s="36"/>
      <c r="H7" s="36"/>
    </row>
    <row r="8" customFormat="false" ht="18" hidden="false" customHeight="true" outlineLevel="0" collapsed="false">
      <c r="A8" s="77" t="n">
        <v>2</v>
      </c>
      <c r="B8" s="48" t="s">
        <v>266</v>
      </c>
      <c r="C8" s="44" t="s">
        <v>267</v>
      </c>
      <c r="D8" s="45" t="n">
        <v>10</v>
      </c>
      <c r="E8" s="47" t="n">
        <v>22000</v>
      </c>
      <c r="F8" s="47" t="n">
        <f aca="false">D8*E8</f>
        <v>220000</v>
      </c>
      <c r="G8" s="47" t="n">
        <f aca="false">F8*0.16</f>
        <v>35200</v>
      </c>
      <c r="H8" s="78" t="n">
        <f aca="false">F8+G8</f>
        <v>255200</v>
      </c>
    </row>
    <row r="9" customFormat="false" ht="19.5" hidden="false" customHeight="true" outlineLevel="0" collapsed="false">
      <c r="A9" s="36" t="s">
        <v>268</v>
      </c>
      <c r="B9" s="36"/>
      <c r="C9" s="36"/>
      <c r="D9" s="36"/>
      <c r="E9" s="36"/>
      <c r="F9" s="36"/>
      <c r="G9" s="36"/>
      <c r="H9" s="36"/>
    </row>
    <row r="10" customFormat="false" ht="18" hidden="false" customHeight="true" outlineLevel="0" collapsed="false">
      <c r="A10" s="75" t="n">
        <v>3</v>
      </c>
      <c r="B10" s="42" t="s">
        <v>269</v>
      </c>
      <c r="C10" s="38" t="s">
        <v>270</v>
      </c>
      <c r="D10" s="39" t="n">
        <v>15</v>
      </c>
      <c r="E10" s="41" t="n">
        <v>20000</v>
      </c>
      <c r="F10" s="41" t="n">
        <f aca="false">D10*E10</f>
        <v>300000</v>
      </c>
      <c r="G10" s="41" t="n">
        <f aca="false">F10*0.16</f>
        <v>48000</v>
      </c>
      <c r="H10" s="76" t="n">
        <f aca="false">F10+G10</f>
        <v>348000</v>
      </c>
    </row>
    <row r="11" customFormat="false" ht="19.5" hidden="false" customHeight="true" outlineLevel="0" collapsed="false">
      <c r="A11" s="36" t="s">
        <v>64</v>
      </c>
      <c r="B11" s="36"/>
      <c r="C11" s="36"/>
      <c r="D11" s="36"/>
      <c r="E11" s="36"/>
      <c r="F11" s="36"/>
      <c r="G11" s="36"/>
      <c r="H11" s="36"/>
    </row>
    <row r="12" customFormat="false" ht="18" hidden="false" customHeight="true" outlineLevel="0" collapsed="false">
      <c r="A12" s="77" t="n">
        <v>4</v>
      </c>
      <c r="B12" s="48" t="s">
        <v>271</v>
      </c>
      <c r="C12" s="44" t="s">
        <v>272</v>
      </c>
      <c r="D12" s="45" t="n">
        <v>10</v>
      </c>
      <c r="E12" s="47" t="n">
        <v>22000</v>
      </c>
      <c r="F12" s="47" t="n">
        <f aca="false">D12*E12</f>
        <v>220000</v>
      </c>
      <c r="G12" s="47" t="n">
        <f aca="false">F12*0.16</f>
        <v>35200</v>
      </c>
      <c r="H12" s="78" t="n">
        <f aca="false">F12+G12</f>
        <v>255200</v>
      </c>
    </row>
    <row r="13" customFormat="false" ht="19.5" hidden="false" customHeight="true" outlineLevel="0" collapsed="false">
      <c r="A13" s="36" t="s">
        <v>70</v>
      </c>
      <c r="B13" s="36"/>
      <c r="C13" s="36"/>
      <c r="D13" s="36"/>
      <c r="E13" s="36"/>
      <c r="F13" s="36"/>
      <c r="G13" s="36"/>
      <c r="H13" s="36"/>
    </row>
    <row r="14" customFormat="false" ht="18" hidden="false" customHeight="true" outlineLevel="0" collapsed="false">
      <c r="A14" s="75" t="n">
        <v>5</v>
      </c>
      <c r="B14" s="42" t="s">
        <v>273</v>
      </c>
      <c r="C14" s="38" t="s">
        <v>57</v>
      </c>
      <c r="D14" s="39" t="n">
        <v>5</v>
      </c>
      <c r="E14" s="41" t="n">
        <v>18000</v>
      </c>
      <c r="F14" s="41" t="n">
        <f aca="false">D14*E14</f>
        <v>90000</v>
      </c>
      <c r="G14" s="41" t="n">
        <f aca="false">F14*0.16</f>
        <v>14400</v>
      </c>
      <c r="H14" s="76" t="n">
        <f aca="false">F14+G14</f>
        <v>104400</v>
      </c>
    </row>
    <row r="15" customFormat="false" ht="19.5" hidden="false" customHeight="true" outlineLevel="0" collapsed="false">
      <c r="A15" s="36" t="s">
        <v>75</v>
      </c>
      <c r="B15" s="36"/>
      <c r="C15" s="36"/>
      <c r="D15" s="36"/>
      <c r="E15" s="36"/>
      <c r="F15" s="36"/>
      <c r="G15" s="36"/>
      <c r="H15" s="36"/>
    </row>
    <row r="16" customFormat="false" ht="18" hidden="false" customHeight="true" outlineLevel="0" collapsed="false">
      <c r="A16" s="77" t="n">
        <v>6</v>
      </c>
      <c r="B16" s="48" t="s">
        <v>274</v>
      </c>
      <c r="C16" s="44" t="s">
        <v>76</v>
      </c>
      <c r="D16" s="45" t="n">
        <v>5</v>
      </c>
      <c r="E16" s="47" t="n">
        <v>20000</v>
      </c>
      <c r="F16" s="47" t="n">
        <f aca="false">D16*E16</f>
        <v>100000</v>
      </c>
      <c r="G16" s="47" t="n">
        <f aca="false">F16*0.16</f>
        <v>16000</v>
      </c>
      <c r="H16" s="78" t="n">
        <f aca="false">F16+G16</f>
        <v>116000</v>
      </c>
    </row>
    <row r="17" customFormat="false" ht="19.5" hidden="false" customHeight="true" outlineLevel="0" collapsed="false">
      <c r="A17" s="36" t="s">
        <v>82</v>
      </c>
      <c r="B17" s="36"/>
      <c r="C17" s="36"/>
      <c r="D17" s="36"/>
      <c r="E17" s="36"/>
      <c r="F17" s="36"/>
      <c r="G17" s="36"/>
      <c r="H17" s="36"/>
    </row>
    <row r="18" customFormat="false" ht="18" hidden="false" customHeight="true" outlineLevel="0" collapsed="false">
      <c r="A18" s="75" t="n">
        <v>7</v>
      </c>
      <c r="B18" s="42" t="s">
        <v>275</v>
      </c>
      <c r="C18" s="38" t="s">
        <v>76</v>
      </c>
      <c r="D18" s="39" t="n">
        <v>5</v>
      </c>
      <c r="E18" s="41" t="n">
        <v>20000</v>
      </c>
      <c r="F18" s="41" t="n">
        <f aca="false">D18*E18</f>
        <v>100000</v>
      </c>
      <c r="G18" s="41" t="n">
        <f aca="false">F18*0.16</f>
        <v>16000</v>
      </c>
      <c r="H18" s="76" t="n">
        <f aca="false">F18+G18</f>
        <v>116000</v>
      </c>
    </row>
    <row r="19" customFormat="false" ht="19.5" hidden="false" customHeight="true" outlineLevel="0" collapsed="false">
      <c r="A19" s="36" t="s">
        <v>276</v>
      </c>
      <c r="B19" s="36"/>
      <c r="C19" s="36"/>
      <c r="D19" s="36"/>
      <c r="E19" s="36"/>
      <c r="F19" s="36"/>
      <c r="G19" s="36"/>
      <c r="H19" s="36"/>
    </row>
    <row r="20" customFormat="false" ht="18" hidden="false" customHeight="true" outlineLevel="0" collapsed="false">
      <c r="A20" s="77" t="n">
        <v>8</v>
      </c>
      <c r="B20" s="48" t="s">
        <v>277</v>
      </c>
      <c r="C20" s="44" t="s">
        <v>278</v>
      </c>
      <c r="D20" s="45" t="n">
        <v>24</v>
      </c>
      <c r="E20" s="47" t="n">
        <v>15000</v>
      </c>
      <c r="F20" s="47" t="n">
        <f aca="false">D20*E20</f>
        <v>360000</v>
      </c>
      <c r="G20" s="47" t="n">
        <f aca="false">F20*0.16</f>
        <v>57600</v>
      </c>
      <c r="H20" s="78" t="n">
        <f aca="false">F20+G20</f>
        <v>417600</v>
      </c>
    </row>
    <row r="21" customFormat="false" ht="19.5" hidden="false" customHeight="true" outlineLevel="0" collapsed="false">
      <c r="A21" s="36" t="s">
        <v>279</v>
      </c>
      <c r="B21" s="36"/>
      <c r="C21" s="36"/>
      <c r="D21" s="36"/>
      <c r="E21" s="36"/>
      <c r="F21" s="36"/>
      <c r="G21" s="36"/>
      <c r="H21" s="36"/>
    </row>
    <row r="22" customFormat="false" ht="18" hidden="false" customHeight="true" outlineLevel="0" collapsed="false">
      <c r="A22" s="75" t="n">
        <v>9</v>
      </c>
      <c r="B22" s="42" t="s">
        <v>280</v>
      </c>
      <c r="C22" s="38" t="s">
        <v>281</v>
      </c>
      <c r="D22" s="39" t="n">
        <v>10</v>
      </c>
      <c r="E22" s="41" t="n">
        <v>18000</v>
      </c>
      <c r="F22" s="41" t="n">
        <f aca="false">D22*E22</f>
        <v>180000</v>
      </c>
      <c r="G22" s="41" t="n">
        <f aca="false">F22*0.16</f>
        <v>28800</v>
      </c>
      <c r="H22" s="76" t="n">
        <f aca="false">F22+G22</f>
        <v>208800</v>
      </c>
    </row>
    <row r="24" customFormat="false" ht="24" hidden="false" customHeight="true" outlineLevel="0" collapsed="false">
      <c r="A24" s="49" t="s">
        <v>282</v>
      </c>
      <c r="B24" s="49"/>
      <c r="C24" s="49"/>
      <c r="D24" s="49"/>
      <c r="E24" s="49"/>
      <c r="F24" s="51" t="n">
        <f aca="false">SUMIF(F5:F22,"&gt;0")</f>
        <v>1714000</v>
      </c>
      <c r="G24" s="51" t="n">
        <f aca="false">SUMIF(G5:G22,"&gt;0")</f>
        <v>274240</v>
      </c>
      <c r="H24" s="51" t="n">
        <f aca="false">SUMIF(H5:H22,"&gt;0")</f>
        <v>1988240</v>
      </c>
    </row>
    <row r="26" customFormat="false" ht="43.5" hidden="false" customHeight="true" outlineLevel="0" collapsed="false">
      <c r="A26" s="65" t="s">
        <v>283</v>
      </c>
      <c r="B26" s="65"/>
      <c r="C26" s="65"/>
      <c r="D26" s="65"/>
      <c r="E26" s="65"/>
      <c r="F26" s="65"/>
      <c r="G26" s="65"/>
      <c r="H26" s="65"/>
    </row>
  </sheetData>
  <mergeCells count="13">
    <mergeCell ref="A1:H1"/>
    <mergeCell ref="A2:H2"/>
    <mergeCell ref="A5:H5"/>
    <mergeCell ref="A7:H7"/>
    <mergeCell ref="A9:H9"/>
    <mergeCell ref="A11:H11"/>
    <mergeCell ref="A13:H13"/>
    <mergeCell ref="A15:H15"/>
    <mergeCell ref="A17:H17"/>
    <mergeCell ref="A19:H19"/>
    <mergeCell ref="A21:H21"/>
    <mergeCell ref="A24:E24"/>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2026-03-21T23:28:59Z</dcterms:created>
  <dc:creator>openpyxl</dc:creator>
  <dc:description/>
  <dc:language>en-US</dc:language>
  <cp:lastModifiedBy/>
  <dcterms:modified xsi:type="dcterms:W3CDTF">2026-03-21T23:29:00Z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