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Precios VM" sheetId="3" state="visible" r:id="rId5"/>
    <sheet name="Calculador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El inventario no trae el tipo de disco por VM. Se supuso Premium SSD en tamaños que lo admiten y Standard SSD en Av2. Confirmar con: az disk list --query "[].{n:name,sku:sku.name,gb:diskSizeGb}"</t>
        </r>
      </text>
    </comment>
    <comment ref="M12" authorId="0">
      <text>
        <r>
          <rPr>
            <sz val="10"/>
            <rFont val="Arial"/>
            <family val="2"/>
          </rPr>
          <t xml:space="preserve">TTechGRPPRD0922 hoy NO tiene respaldo. Poner 1 para incluirlo (recomendado).</t>
        </r>
      </text>
    </comment>
  </commentList>
</comments>
</file>

<file path=xl/sharedStrings.xml><?xml version="1.0" encoding="utf-8"?>
<sst xmlns="http://schemas.openxmlformats.org/spreadsheetml/2006/main" count="240" uniqueCount="180">
  <si>
    <t xml:space="preserve">Resumen de costos Azure — Comisión Estatal de Aguas de Querétaro</t>
  </si>
  <si>
    <t xml:space="preserve">Suscripción #1427074 · East US · precios de lista Azure (pago por uso) al 02-oct-2026 · inventario del 29-sep-2026</t>
  </si>
  <si>
    <t xml:space="preserve">Concepto</t>
  </si>
  <si>
    <t xml:space="preserve">USD / mes</t>
  </si>
  <si>
    <t xml:space="preserve">MXN / mes</t>
  </si>
  <si>
    <t xml:space="preserve">% del total</t>
  </si>
  <si>
    <t xml:space="preserve">Cómputo (VMs encendidas)</t>
  </si>
  <si>
    <t xml:space="preserve">Discos administrados de las VMs</t>
  </si>
  <si>
    <t xml:space="preserve">Respaldo (instancias + almacenamiento)</t>
  </si>
  <si>
    <t xml:space="preserve">Red (IPs públicas, Bastion, Front Door)</t>
  </si>
  <si>
    <t xml:space="preserve">Almacenamiento, snapshot y discos huérfanos</t>
  </si>
  <si>
    <t xml:space="preserve">Monitoreo y Key Vault</t>
  </si>
  <si>
    <t xml:space="preserve">Total mensual</t>
  </si>
  <si>
    <t xml:space="preserve">Total anual</t>
  </si>
  <si>
    <t xml:space="preserve">Tipo de cambio usado (editar en Supuestos):</t>
  </si>
  <si>
    <t xml:space="preserve">Escenario: si se encendieran las 6 VMs desasignadas 24x7</t>
  </si>
  <si>
    <t xml:space="preserve">Cómputo adicional por mes (USD)</t>
  </si>
  <si>
    <t xml:space="preserve">Notas importantes</t>
  </si>
  <si>
    <t xml:space="preserve">• Precios de lista públicos en USD. La suscripción es CSP (Ingram Micro); el precio facturado puede variar por márgenes o descuentos del partner.</t>
  </si>
  <si>
    <t xml:space="preserve">• No incluye impuestos (IVA), soporte de Microsoft, salida de datos a Internet más allá del supuesto de Front Door, ni licencias SAP/Oracle (BYOL).</t>
  </si>
  <si>
    <t xml:space="preserve">• El tipo de disco por VM no viene en el inventario: se supuso Premium SSD donde el tamaño lo admite. Es la principal fuente de variación (ver Calculadora, columna J).</t>
  </si>
  <si>
    <t xml:space="preserve">• Las 6 VMs desasignadas (Dev/QA/Prod App+DB) no generan cómputo, pero sí pagan disco y respaldo.</t>
  </si>
  <si>
    <t xml:space="preserve">• Las IP públicas Basic se retiraron el 30-sep-2025; se presupuestan como Standard estáticas.</t>
  </si>
  <si>
    <t xml:space="preserve">• Ahorros posibles: eliminar 38 discos huérfanos, liberar 2 IPs sin uso, instancias reservadas 1/3 años o Azure Hybrid Benefit para Windows Server.</t>
  </si>
  <si>
    <t xml:space="preserve">• Riesgo: TTechGRPPRD0922 no tiene respaldo; se recomienda protegerlo (+$30/mes aprox.).</t>
  </si>
  <si>
    <t xml:space="preserve">Supuestos y precios de referencia — Azure East US (USD, pago por uso)</t>
  </si>
  <si>
    <t xml:space="preserve">Celdas azules con fondo amarillo = editables. Precios: API Azure Retail Prices (prices.azure.com), consultada el 02-oct-2026, precio de lista sin descuentos CSP.</t>
  </si>
  <si>
    <t xml:space="preserve">GENERAL</t>
  </si>
  <si>
    <t xml:space="preserve">Horas por mes</t>
  </si>
  <si>
    <t xml:space="preserve">Estándar de la Calculadora de Azure</t>
  </si>
  <si>
    <t xml:space="preserve">Horas/mes encendidas para VMs hoy desasignadas</t>
  </si>
  <si>
    <t xml:space="preserve">0 = siguen apagadas (solo pagan disco). Poner 730 si se van a encender.</t>
  </si>
  <si>
    <t xml:space="preserve">Tipo de cambio MXN por USD</t>
  </si>
  <si>
    <t xml:space="preserve">ACTUALIZAR con el tipo de cambio vigente / el de la factura CSP</t>
  </si>
  <si>
    <t xml:space="preserve">Incluir discos huérfanos (1 = sí, 0 = no)</t>
  </si>
  <si>
    <t xml:space="preserve">38 discos / 9,828 GB de restauraciones 2021-2022; recomendación: eliminarlos</t>
  </si>
  <si>
    <t xml:space="preserve">GB de discos huérfanos</t>
  </si>
  <si>
    <t xml:space="preserve">Del inventario</t>
  </si>
  <si>
    <t xml:space="preserve">DISCOS ADMINISTRADOS ($/GB-mes, aprox. por tier de 1 TiB)</t>
  </si>
  <si>
    <t xml:space="preserve">Premium SSD (P30 1,024 GB = $135.17/mes)</t>
  </si>
  <si>
    <t xml:space="preserve">API: skuName 'P30 LRS', eastus</t>
  </si>
  <si>
    <t xml:space="preserve">Standard SSD (E30 1,024 GB = $76.80/mes)</t>
  </si>
  <si>
    <t xml:space="preserve">API: skuName 'E30 LRS', eastus. Más transacciones ($0.002 por 10K)</t>
  </si>
  <si>
    <t xml:space="preserve">Standard HDD (S30 1,024 GB = $40.96/mes)</t>
  </si>
  <si>
    <t xml:space="preserve">API: skuName 'S30 LRS', eastus. Más transacciones ($0.0005 por 10K)</t>
  </si>
  <si>
    <t xml:space="preserve">Transacciones de disco Standard estimadas ($/mes por disco)</t>
  </si>
  <si>
    <t xml:space="preserve">Supuesto: aplica solo a Standard SSD/HDD</t>
  </si>
  <si>
    <t xml:space="preserve">RED</t>
  </si>
  <si>
    <t xml:space="preserve">IP pública Standard estática ($/hora)</t>
  </si>
  <si>
    <t xml:space="preserve">API: 'Standard IPv4 Static Public IP'. Las IP Basic se retiraron el 30-sep-2025</t>
  </si>
  <si>
    <t xml:space="preserve">IPs públicas a conservar</t>
  </si>
  <si>
    <t xml:space="preserve">31 hoy; las 2 sin asociar se pueden liberar</t>
  </si>
  <si>
    <t xml:space="preserve">Azure Bastion Basic ($/hora)</t>
  </si>
  <si>
    <t xml:space="preserve">API: 'Basic Gateway'</t>
  </si>
  <si>
    <t xml:space="preserve">Azure Front Door Standard, cuota base ($/mes por perfil)</t>
  </si>
  <si>
    <t xml:space="preserve">API: 'Standard Base Fees'. Sin tráfico/solicitudes</t>
  </si>
  <si>
    <t xml:space="preserve">Perfiles Front Door Standard</t>
  </si>
  <si>
    <t xml:space="preserve">Los 2 clásicos se consolidan en 1 perfil Standard (Classic se retira en 2027)</t>
  </si>
  <si>
    <t xml:space="preserve">Tráfico Front Door + salida de datos estimado ($/mes)</t>
  </si>
  <si>
    <t xml:space="preserve">Supuesto; ajustar con métricas reales de tráfico</t>
  </si>
  <si>
    <t xml:space="preserve">RESPALDO (Recovery Services vault)</t>
  </si>
  <si>
    <t xml:space="preserve">Almacenamiento de respaldo GRS ($/GB-mes)</t>
  </si>
  <si>
    <t xml:space="preserve">API: Backup 'Standard GRS Data Stored'</t>
  </si>
  <si>
    <t xml:space="preserve">Factor GB respaldados / GB aprovisionados</t>
  </si>
  <si>
    <t xml:space="preserve">Supuesto: discos ~60% ocupados + retención diaria incremental</t>
  </si>
  <si>
    <t xml:space="preserve">SNAPSHOT</t>
  </si>
  <si>
    <t xml:space="preserve">Snapshot Standard HDD LRS ($/GB-mes)</t>
  </si>
  <si>
    <t xml:space="preserve">Precio de lista de referencia (verificar)</t>
  </si>
  <si>
    <t xml:space="preserve">Tamaño del snapshot SAPRouter (GB)</t>
  </si>
  <si>
    <t xml:space="preserve">Supuesto: disco de SO de TTechSAP-router</t>
  </si>
  <si>
    <t xml:space="preserve">MONITOREO Y OTROS</t>
  </si>
  <si>
    <t xml:space="preserve">Log Analytics ingesta ($/GB)</t>
  </si>
  <si>
    <t xml:space="preserve">API: 'Analytics Logs Data Ingestion' (primeros 5 GB/mes gratis)</t>
  </si>
  <si>
    <t xml:space="preserve">GB/mes ingeridos en Log Analytics</t>
  </si>
  <si>
    <t xml:space="preserve">Supuesto (agentes MMA/OMS en 15 VMs); verificar en el workspace</t>
  </si>
  <si>
    <t xml:space="preserve">Alertas, grupos de acción, Network Watcher, dashboard ($/mes)</t>
  </si>
  <si>
    <t xml:space="preserve">Supuesto: 6 alertas de métricas ≈ $0.10 c/u + notificaciones</t>
  </si>
  <si>
    <t xml:space="preserve">Key Vault: 5 bóvedas, operaciones + renovación de certificados ($/mes)</t>
  </si>
  <si>
    <t xml:space="preserve">Supuesto: $0.03 por 10K operaciones; $3 por renovación de certificado</t>
  </si>
  <si>
    <t xml:space="preserve">Cuentas de almacenamiento: GB totales (diagnóstico + qorderbackups01 + admintransfers)</t>
  </si>
  <si>
    <t xml:space="preserve">Supuesto: VERIFICAR capacidad real en cada cuenta</t>
  </si>
  <si>
    <t xml:space="preserve">Precio blob Hot ($/GB-mes, mezcla LRS/RA-GRS)</t>
  </si>
  <si>
    <t xml:space="preserve">Referencia: Hot LRS ≈ $0.0208, RA-GRS ≈ $0.046</t>
  </si>
  <si>
    <t xml:space="preserve">Precios de cómputo por hora — East US, pago por uso (USD)</t>
  </si>
  <si>
    <t xml:space="preserve">Fuente: https://prices.azure.com/api/retail/prices (armRegionName='eastus', priceType='Consumption'), 02-oct-2026. Windows incluye licencia.</t>
  </si>
  <si>
    <t xml:space="preserve">Tamaño</t>
  </si>
  <si>
    <t xml:space="preserve">vCPU</t>
  </si>
  <si>
    <t xml:space="preserve">RAM (GiB)</t>
  </si>
  <si>
    <t xml:space="preserve">Linux $/h</t>
  </si>
  <si>
    <t xml:space="preserve">Windows $/h</t>
  </si>
  <si>
    <t xml:space="preserve">Nota</t>
  </si>
  <si>
    <t xml:space="preserve">Standard_A4_v2</t>
  </si>
  <si>
    <t xml:space="preserve">Av2: no admite Premium SSD</t>
  </si>
  <si>
    <t xml:space="preserve">Standard_F4s</t>
  </si>
  <si>
    <t xml:space="preserve">Standard_E4as_v4</t>
  </si>
  <si>
    <t xml:space="preserve">Standard_E8as_v4</t>
  </si>
  <si>
    <t xml:space="preserve">Standard_DS13_v2</t>
  </si>
  <si>
    <t xml:space="preserve">Standard_DS12-1_v2</t>
  </si>
  <si>
    <t xml:space="preserve">Restringido a 1 vCPU (hardware de DS12 v2, 4 vCPU)</t>
  </si>
  <si>
    <t xml:space="preserve">Standard_B4ms</t>
  </si>
  <si>
    <t xml:space="preserve">Serie B: la API publica la licencia Windows aparte ($0.182/h); total = cómputo + licencia</t>
  </si>
  <si>
    <t xml:space="preserve">Calculadora Azure — CEAQ suscripción #1427074 (East US)</t>
  </si>
  <si>
    <t xml:space="preserve">Estimación mensual a precio de lista. Las columnas en azul/amarillo se pueden cambiar; todo lo demás se calcula.</t>
  </si>
  <si>
    <t xml:space="preserve">VM</t>
  </si>
  <si>
    <t xml:space="preserve">SO</t>
  </si>
  <si>
    <t xml:space="preserve">Estado</t>
  </si>
  <si>
    <t xml:space="preserve">Horas/mes</t>
  </si>
  <si>
    <t xml:space="preserve">$/hora</t>
  </si>
  <si>
    <t xml:space="preserve">Cómputo $/mes</t>
  </si>
  <si>
    <t xml:space="preserve">Discos (SO+datos)</t>
  </si>
  <si>
    <t xml:space="preserve">GB</t>
  </si>
  <si>
    <t xml:space="preserve">Tipo de disco</t>
  </si>
  <si>
    <t xml:space="preserve">$/GB-mes</t>
  </si>
  <si>
    <t xml:space="preserve">Discos $/mes</t>
  </si>
  <si>
    <t xml:space="preserve">Respaldo (1/0)</t>
  </si>
  <si>
    <t xml:space="preserve">Instancia protegida $/mes</t>
  </si>
  <si>
    <t xml:space="preserve">Almac. respaldo $/mes</t>
  </si>
  <si>
    <t xml:space="preserve">Total VM $/mes</t>
  </si>
  <si>
    <t xml:space="preserve">OracleDBsrv</t>
  </si>
  <si>
    <t xml:space="preserve">Linux</t>
  </si>
  <si>
    <t xml:space="preserve">running</t>
  </si>
  <si>
    <t xml:space="preserve">Standard SSD</t>
  </si>
  <si>
    <t xml:space="preserve">TTechDMS-PRD</t>
  </si>
  <si>
    <t xml:space="preserve">Windows</t>
  </si>
  <si>
    <t xml:space="preserve">Premium SSD</t>
  </si>
  <si>
    <t xml:space="preserve">TTechDMS-QAS</t>
  </si>
  <si>
    <t xml:space="preserve">TTechDev-App-01</t>
  </si>
  <si>
    <t xml:space="preserve">deallocated</t>
  </si>
  <si>
    <t xml:space="preserve">TTechDev-DB-01</t>
  </si>
  <si>
    <t xml:space="preserve">TTechGRP-PRD</t>
  </si>
  <si>
    <t xml:space="preserve">TTechGRP-QAS</t>
  </si>
  <si>
    <t xml:space="preserve">TTechGRPPRD0922</t>
  </si>
  <si>
    <t xml:space="preserve">TTechProd-App-1</t>
  </si>
  <si>
    <t xml:space="preserve">TTechProd-DB-01</t>
  </si>
  <si>
    <t xml:space="preserve">TTechQA-App-01</t>
  </si>
  <si>
    <t xml:space="preserve">TTechQA-DB-01</t>
  </si>
  <si>
    <t xml:space="preserve">TTechSAP-DMS</t>
  </si>
  <si>
    <t xml:space="preserve">TTechSAP-ECC</t>
  </si>
  <si>
    <t xml:space="preserve">TTechSAP-router</t>
  </si>
  <si>
    <t xml:space="preserve">Subtotal máquinas virtuales</t>
  </si>
  <si>
    <t xml:space="preserve">Otros servicios</t>
  </si>
  <si>
    <t xml:space="preserve">Servicio</t>
  </si>
  <si>
    <t xml:space="preserve">Detalle</t>
  </si>
  <si>
    <t xml:space="preserve">Cantidad</t>
  </si>
  <si>
    <t xml:space="preserve">Precio unitario</t>
  </si>
  <si>
    <t xml:space="preserve">Unidad</t>
  </si>
  <si>
    <t xml:space="preserve">$/mes</t>
  </si>
  <si>
    <t xml:space="preserve">Discos huérfanos</t>
  </si>
  <si>
    <t xml:space="preserve">Restauraciones 2021-2022 como Standard HDD (solo si se conservan)</t>
  </si>
  <si>
    <t xml:space="preserve">GB-mes</t>
  </si>
  <si>
    <t xml:space="preserve">IPs públicas</t>
  </si>
  <si>
    <t xml:space="preserve">Standard estáticas (las Basic ya no existen)</t>
  </si>
  <si>
    <t xml:space="preserve">IP-mes</t>
  </si>
  <si>
    <t xml:space="preserve">Azure Bastion</t>
  </si>
  <si>
    <t xml:space="preserve">Qorder-bastion, SKU Basic</t>
  </si>
  <si>
    <t xml:space="preserve">instancia-mes</t>
  </si>
  <si>
    <t xml:space="preserve">Azure Front Door</t>
  </si>
  <si>
    <t xml:space="preserve">Perfil Standard (cuota base)</t>
  </si>
  <si>
    <t xml:space="preserve">perfil-mes</t>
  </si>
  <si>
    <t xml:space="preserve">Front Door tráfico / salida de datos</t>
  </si>
  <si>
    <t xml:space="preserve">Estimado</t>
  </si>
  <si>
    <t xml:space="preserve">global</t>
  </si>
  <si>
    <t xml:space="preserve">Snapshot</t>
  </si>
  <si>
    <t xml:space="preserve">SAPRouter-previoamovimientoregistro</t>
  </si>
  <si>
    <t xml:space="preserve">Cuentas de almacenamiento</t>
  </si>
  <si>
    <t xml:space="preserve">15 cuentas (diagnóstico, respaldos, transferencias)</t>
  </si>
  <si>
    <t xml:space="preserve">Log Analytics</t>
  </si>
  <si>
    <t xml:space="preserve">Ingesta de agentes MMA/OMS y Dependency Agent (5 GB gratis)</t>
  </si>
  <si>
    <t xml:space="preserve">Monitor</t>
  </si>
  <si>
    <t xml:space="preserve">6 alertas de métricas, 2 de actividad, 3 grupos de acción</t>
  </si>
  <si>
    <t xml:space="preserve">Key Vault</t>
  </si>
  <si>
    <t xml:space="preserve">5 bóvedas (certificados SSL)</t>
  </si>
  <si>
    <t xml:space="preserve">VNets, NSG, NICs, Network Watcher, AVD workspace</t>
  </si>
  <si>
    <t xml:space="preserve">Sin costo directo</t>
  </si>
  <si>
    <t xml:space="preserve">-</t>
  </si>
  <si>
    <t xml:space="preserve">Subtotal otros servicios</t>
  </si>
  <si>
    <t xml:space="preserve">TOTAL MENSUAL (USD)</t>
  </si>
  <si>
    <t xml:space="preserve">TOTAL MENSUAL (MXN)</t>
  </si>
  <si>
    <t xml:space="preserve">TOTAL ANUAL (USD)</t>
  </si>
  <si>
    <t xml:space="preserve">TOTAL ANUAL (MXN)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</si>
</sst>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&quot;MXN $&quot;#,##0;&quot;(MXN $&quot;#,##0\);\-"/>
    <numFmt numFmtId="167" formatCode="0.0%"/>
    <numFmt numFmtId="168" formatCode="#,##0.00"/>
    <numFmt numFmtId="169" formatCode="\$#,##0.0000;&quot;($&quot;#,##0.0000\);\-"/>
    <numFmt numFmtId="170" formatCode="#,##0;\(#,##0\);\-"/>
    <numFmt numFmtId="171" formatCode="#,##0.##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</row>
    <row r="5" customFormat="false" ht="15" hidden="false" customHeight="false" outlineLevel="0" collapsed="false">
      <c r="A5" s="5" t="s">
        <v>6</v>
      </c>
      <c r="B5" s="6" t="n">
        <f aca="false">Calculadora!G20</f>
        <v>3036.8</v>
      </c>
      <c r="C5" s="7" t="n">
        <f aca="false">B5*Supuestos!$B$7</f>
        <v>56180.8</v>
      </c>
      <c r="D5" s="8" t="n">
        <f aca="false">IF($B$11=0,0,B5/$B$11)</f>
        <v>0.559812878106283</v>
      </c>
      <c r="E5" s="2"/>
      <c r="F5" s="2"/>
    </row>
    <row r="6" customFormat="false" ht="15" hidden="false" customHeight="false" outlineLevel="0" collapsed="false">
      <c r="A6" s="5" t="s">
        <v>7</v>
      </c>
      <c r="B6" s="6" t="n">
        <f aca="false">Calculadora!L20</f>
        <v>1471.84225585938</v>
      </c>
      <c r="C6" s="7" t="n">
        <f aca="false">B6*Supuestos!$B$7</f>
        <v>27229.0817333984</v>
      </c>
      <c r="D6" s="8" t="n">
        <f aca="false">IF($B$11=0,0,B6/$B$11)</f>
        <v>0.271323843970983</v>
      </c>
      <c r="E6" s="2"/>
      <c r="F6" s="2"/>
    </row>
    <row r="7" customFormat="false" ht="15" hidden="false" customHeight="false" outlineLevel="0" collapsed="false">
      <c r="A7" s="5" t="s">
        <v>8</v>
      </c>
      <c r="B7" s="6" t="n">
        <f aca="false">Calculadora!N20+Calculadora!O20</f>
        <v>545.62752</v>
      </c>
      <c r="C7" s="7" t="n">
        <f aca="false">B7*Supuestos!$B$7</f>
        <v>10094.10912</v>
      </c>
      <c r="D7" s="8" t="n">
        <f aca="false">IF($B$11=0,0,B7/$B$11)</f>
        <v>0.100582623928212</v>
      </c>
      <c r="E7" s="2"/>
      <c r="F7" s="2"/>
    </row>
    <row r="8" customFormat="false" ht="15" hidden="false" customHeight="false" outlineLevel="0" collapsed="false">
      <c r="A8" s="5" t="s">
        <v>9</v>
      </c>
      <c r="B8" s="6" t="n">
        <f aca="false">SUM(Calculadora!P25:P28)</f>
        <v>304.55</v>
      </c>
      <c r="C8" s="7" t="n">
        <f aca="false">B8*Supuestos!$B$7</f>
        <v>5634.175</v>
      </c>
      <c r="D8" s="8" t="n">
        <f aca="false">IF($B$11=0,0,B8/$B$11)</f>
        <v>0.0561416662365873</v>
      </c>
      <c r="E8" s="2"/>
      <c r="F8" s="2"/>
    </row>
    <row r="9" customFormat="false" ht="15" hidden="false" customHeight="false" outlineLevel="0" collapsed="false">
      <c r="A9" s="5" t="s">
        <v>10</v>
      </c>
      <c r="B9" s="6" t="n">
        <f aca="false">Calculadora!P24+Calculadora!P29+Calculadora!P30</f>
        <v>21.35</v>
      </c>
      <c r="C9" s="7" t="n">
        <f aca="false">B9*Supuestos!$B$7</f>
        <v>394.975</v>
      </c>
      <c r="D9" s="8" t="n">
        <f aca="false">IF($B$11=0,0,B9/$B$11)</f>
        <v>0.00393572344163894</v>
      </c>
      <c r="E9" s="2"/>
      <c r="F9" s="2"/>
    </row>
    <row r="10" customFormat="false" ht="15" hidden="false" customHeight="false" outlineLevel="0" collapsed="false">
      <c r="A10" s="5" t="s">
        <v>11</v>
      </c>
      <c r="B10" s="6" t="n">
        <f aca="false">SUM(Calculadora!P31:P34)</f>
        <v>44.5</v>
      </c>
      <c r="C10" s="7" t="n">
        <f aca="false">B10*Supuestos!$B$7</f>
        <v>823.25</v>
      </c>
      <c r="D10" s="8" t="n">
        <f aca="false">IF($B$11=0,0,B10/$B$11)</f>
        <v>0.00820326431629662</v>
      </c>
      <c r="E10" s="2"/>
      <c r="F10" s="2"/>
    </row>
    <row r="11" customFormat="false" ht="15" hidden="false" customHeight="false" outlineLevel="0" collapsed="false">
      <c r="A11" s="9" t="s">
        <v>12</v>
      </c>
      <c r="B11" s="10" t="n">
        <f aca="false">SUM(B5:B10)</f>
        <v>5424.66977585938</v>
      </c>
      <c r="C11" s="11" t="n">
        <f aca="false">B11*Supuestos!$B$7</f>
        <v>100356.390853398</v>
      </c>
      <c r="D11" s="12" t="n">
        <f aca="false">SUM(D5:D10)</f>
        <v>1</v>
      </c>
      <c r="E11" s="2"/>
      <c r="F11" s="2"/>
    </row>
    <row r="12" customFormat="false" ht="15" hidden="false" customHeight="false" outlineLevel="0" collapsed="false">
      <c r="A12" s="9" t="s">
        <v>13</v>
      </c>
      <c r="B12" s="10" t="n">
        <f aca="false">B11*12</f>
        <v>65096.0373103125</v>
      </c>
      <c r="C12" s="11" t="n">
        <f aca="false">B12*Supuestos!$B$7</f>
        <v>1204276.69024078</v>
      </c>
      <c r="D12" s="9"/>
      <c r="E12" s="2"/>
      <c r="F12" s="2"/>
    </row>
    <row r="13" customFormat="false" ht="15" hidden="false" customHeight="false" outlineLevel="0" collapsed="false">
      <c r="A13" s="13" t="s">
        <v>14</v>
      </c>
      <c r="B13" s="14" t="n">
        <f aca="false">Supuestos!$B$7</f>
        <v>18.5</v>
      </c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15" t="s">
        <v>15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16" t="s">
        <v>16</v>
      </c>
      <c r="B16" s="17" t="n">
        <f aca="false">SUMPRODUCT((Calculadora!D5:D19="deallocated")*Calculadora!F5:F19)*Supuestos!$B$5-SUMPRODUCT((Calculadora!D5:D19="deallocated")*Calculadora!G5:G19)</f>
        <v>2546.24</v>
      </c>
      <c r="C16" s="18" t="n">
        <f aca="false">B16*Supuestos!$B$7</f>
        <v>47105.44</v>
      </c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8" hidden="false" customHeight="true" outlineLevel="0" collapsed="false">
      <c r="A18" s="19" t="s">
        <v>17</v>
      </c>
      <c r="B18" s="19"/>
      <c r="C18" s="19"/>
      <c r="D18" s="19"/>
      <c r="E18" s="19"/>
      <c r="F18" s="19"/>
    </row>
    <row r="19" customFormat="false" ht="27.75" hidden="false" customHeight="true" outlineLevel="0" collapsed="false">
      <c r="A19" s="20" t="s">
        <v>18</v>
      </c>
      <c r="B19" s="20"/>
      <c r="C19" s="20"/>
      <c r="D19" s="20"/>
      <c r="E19" s="20"/>
      <c r="F19" s="20"/>
    </row>
    <row r="20" customFormat="false" ht="27.75" hidden="false" customHeight="true" outlineLevel="0" collapsed="false">
      <c r="A20" s="20" t="s">
        <v>19</v>
      </c>
      <c r="B20" s="20"/>
      <c r="C20" s="20"/>
      <c r="D20" s="20"/>
      <c r="E20" s="20"/>
      <c r="F20" s="20"/>
    </row>
    <row r="21" customFormat="false" ht="27.75" hidden="false" customHeight="true" outlineLevel="0" collapsed="false">
      <c r="A21" s="20" t="s">
        <v>20</v>
      </c>
      <c r="B21" s="20"/>
      <c r="C21" s="20"/>
      <c r="D21" s="20"/>
      <c r="E21" s="20"/>
      <c r="F21" s="20"/>
    </row>
    <row r="22" customFormat="false" ht="27.75" hidden="false" customHeight="true" outlineLevel="0" collapsed="false">
      <c r="A22" s="20" t="s">
        <v>21</v>
      </c>
      <c r="B22" s="20"/>
      <c r="C22" s="20"/>
      <c r="D22" s="20"/>
      <c r="E22" s="20"/>
      <c r="F22" s="20"/>
    </row>
    <row r="23" customFormat="false" ht="27.75" hidden="false" customHeight="true" outlineLevel="0" collapsed="false">
      <c r="A23" s="20" t="s">
        <v>22</v>
      </c>
      <c r="B23" s="20"/>
      <c r="C23" s="20"/>
      <c r="D23" s="20"/>
      <c r="E23" s="20"/>
      <c r="F23" s="20"/>
    </row>
    <row r="24" customFormat="false" ht="27.75" hidden="false" customHeight="true" outlineLevel="0" collapsed="false">
      <c r="A24" s="20" t="s">
        <v>23</v>
      </c>
      <c r="B24" s="20"/>
      <c r="C24" s="20"/>
      <c r="D24" s="20"/>
      <c r="E24" s="20"/>
      <c r="F24" s="20"/>
    </row>
    <row r="25" customFormat="false" ht="27.75" hidden="false" customHeight="true" outlineLevel="0" collapsed="false">
      <c r="A25" s="20" t="s">
        <v>24</v>
      </c>
      <c r="B25" s="20"/>
      <c r="C25" s="20"/>
      <c r="D25" s="20"/>
      <c r="E25" s="20"/>
      <c r="F25" s="20"/>
    </row>
  </sheetData>
  <mergeCells count="8">
    <mergeCell ref="A18:F18"/>
    <mergeCell ref="A19:F19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25</v>
      </c>
      <c r="B1" s="2"/>
      <c r="C1" s="2"/>
    </row>
    <row r="2" customFormat="false" ht="15" hidden="false" customHeight="false" outlineLevel="0" collapsed="false">
      <c r="A2" s="3" t="s">
        <v>26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1" t="s">
        <v>27</v>
      </c>
      <c r="B4" s="22"/>
      <c r="C4" s="22"/>
    </row>
    <row r="5" customFormat="false" ht="15" hidden="false" customHeight="false" outlineLevel="0" collapsed="false">
      <c r="A5" s="23" t="s">
        <v>28</v>
      </c>
      <c r="B5" s="24" t="n">
        <v>730</v>
      </c>
      <c r="C5" s="13" t="s">
        <v>29</v>
      </c>
    </row>
    <row r="6" customFormat="false" ht="15" hidden="false" customHeight="false" outlineLevel="0" collapsed="false">
      <c r="A6" s="23" t="s">
        <v>30</v>
      </c>
      <c r="B6" s="24" t="n">
        <v>0</v>
      </c>
      <c r="C6" s="13" t="s">
        <v>31</v>
      </c>
    </row>
    <row r="7" customFormat="false" ht="15" hidden="false" customHeight="false" outlineLevel="0" collapsed="false">
      <c r="A7" s="23" t="s">
        <v>32</v>
      </c>
      <c r="B7" s="24" t="n">
        <v>18.5</v>
      </c>
      <c r="C7" s="13" t="s">
        <v>33</v>
      </c>
    </row>
    <row r="8" customFormat="false" ht="15" hidden="false" customHeight="false" outlineLevel="0" collapsed="false">
      <c r="A8" s="23" t="s">
        <v>34</v>
      </c>
      <c r="B8" s="24" t="n">
        <v>0</v>
      </c>
      <c r="C8" s="13" t="s">
        <v>35</v>
      </c>
    </row>
    <row r="9" customFormat="false" ht="15" hidden="false" customHeight="false" outlineLevel="0" collapsed="false">
      <c r="A9" s="23" t="s">
        <v>36</v>
      </c>
      <c r="B9" s="24" t="n">
        <v>9828</v>
      </c>
      <c r="C9" s="13" t="s">
        <v>37</v>
      </c>
    </row>
    <row r="10" customFormat="false" ht="15" hidden="false" customHeight="false" outlineLevel="0" collapsed="false">
      <c r="A10" s="21" t="s">
        <v>38</v>
      </c>
      <c r="B10" s="22"/>
      <c r="C10" s="22"/>
    </row>
    <row r="11" customFormat="false" ht="15" hidden="false" customHeight="false" outlineLevel="0" collapsed="false">
      <c r="A11" s="23" t="s">
        <v>39</v>
      </c>
      <c r="B11" s="25" t="n">
        <f aca="false">135.17/1024</f>
        <v>0.132001953125</v>
      </c>
      <c r="C11" s="13" t="s">
        <v>40</v>
      </c>
    </row>
    <row r="12" customFormat="false" ht="15" hidden="false" customHeight="false" outlineLevel="0" collapsed="false">
      <c r="A12" s="23" t="s">
        <v>41</v>
      </c>
      <c r="B12" s="25" t="n">
        <f aca="false">76.8/1024</f>
        <v>0.075</v>
      </c>
      <c r="C12" s="13" t="s">
        <v>42</v>
      </c>
    </row>
    <row r="13" customFormat="false" ht="15" hidden="false" customHeight="false" outlineLevel="0" collapsed="false">
      <c r="A13" s="23" t="s">
        <v>43</v>
      </c>
      <c r="B13" s="25" t="n">
        <f aca="false">40.96/1024</f>
        <v>0.04</v>
      </c>
      <c r="C13" s="13" t="s">
        <v>44</v>
      </c>
    </row>
    <row r="14" customFormat="false" ht="15" hidden="false" customHeight="false" outlineLevel="0" collapsed="false">
      <c r="A14" s="23" t="s">
        <v>45</v>
      </c>
      <c r="B14" s="24" t="n">
        <v>2</v>
      </c>
      <c r="C14" s="13" t="s">
        <v>46</v>
      </c>
    </row>
    <row r="15" customFormat="false" ht="15" hidden="false" customHeight="false" outlineLevel="0" collapsed="false">
      <c r="A15" s="21" t="s">
        <v>47</v>
      </c>
      <c r="B15" s="22"/>
      <c r="C15" s="22"/>
    </row>
    <row r="16" customFormat="false" ht="15" hidden="false" customHeight="false" outlineLevel="0" collapsed="false">
      <c r="A16" s="23" t="s">
        <v>48</v>
      </c>
      <c r="B16" s="25" t="n">
        <v>0.005</v>
      </c>
      <c r="C16" s="13" t="s">
        <v>49</v>
      </c>
    </row>
    <row r="17" customFormat="false" ht="15" hidden="false" customHeight="false" outlineLevel="0" collapsed="false">
      <c r="A17" s="23" t="s">
        <v>50</v>
      </c>
      <c r="B17" s="24" t="n">
        <v>29</v>
      </c>
      <c r="C17" s="13" t="s">
        <v>51</v>
      </c>
    </row>
    <row r="18" customFormat="false" ht="15" hidden="false" customHeight="false" outlineLevel="0" collapsed="false">
      <c r="A18" s="23" t="s">
        <v>52</v>
      </c>
      <c r="B18" s="25" t="n">
        <v>0.19</v>
      </c>
      <c r="C18" s="13" t="s">
        <v>53</v>
      </c>
    </row>
    <row r="19" customFormat="false" ht="15" hidden="false" customHeight="false" outlineLevel="0" collapsed="false">
      <c r="A19" s="23" t="s">
        <v>54</v>
      </c>
      <c r="B19" s="24" t="n">
        <v>35</v>
      </c>
      <c r="C19" s="13" t="s">
        <v>55</v>
      </c>
    </row>
    <row r="20" customFormat="false" ht="15" hidden="false" customHeight="false" outlineLevel="0" collapsed="false">
      <c r="A20" s="23" t="s">
        <v>56</v>
      </c>
      <c r="B20" s="24" t="n">
        <v>1</v>
      </c>
      <c r="C20" s="13" t="s">
        <v>57</v>
      </c>
    </row>
    <row r="21" customFormat="false" ht="15" hidden="false" customHeight="false" outlineLevel="0" collapsed="false">
      <c r="A21" s="23" t="s">
        <v>58</v>
      </c>
      <c r="B21" s="24" t="n">
        <v>25</v>
      </c>
      <c r="C21" s="13" t="s">
        <v>59</v>
      </c>
    </row>
    <row r="22" customFormat="false" ht="15" hidden="false" customHeight="false" outlineLevel="0" collapsed="false">
      <c r="A22" s="21" t="s">
        <v>60</v>
      </c>
      <c r="B22" s="22"/>
      <c r="C22" s="22"/>
    </row>
    <row r="23" customFormat="false" ht="15" hidden="false" customHeight="false" outlineLevel="0" collapsed="false">
      <c r="A23" s="23" t="s">
        <v>61</v>
      </c>
      <c r="B23" s="25" t="n">
        <v>0.0448</v>
      </c>
      <c r="C23" s="13" t="s">
        <v>62</v>
      </c>
    </row>
    <row r="24" customFormat="false" ht="15" hidden="false" customHeight="false" outlineLevel="0" collapsed="false">
      <c r="A24" s="23" t="s">
        <v>63</v>
      </c>
      <c r="B24" s="25" t="n">
        <v>0.6</v>
      </c>
      <c r="C24" s="13" t="s">
        <v>64</v>
      </c>
    </row>
    <row r="25" customFormat="false" ht="15" hidden="false" customHeight="false" outlineLevel="0" collapsed="false">
      <c r="A25" s="21" t="s">
        <v>65</v>
      </c>
      <c r="B25" s="22"/>
      <c r="C25" s="22"/>
    </row>
    <row r="26" customFormat="false" ht="15" hidden="false" customHeight="false" outlineLevel="0" collapsed="false">
      <c r="A26" s="23" t="s">
        <v>66</v>
      </c>
      <c r="B26" s="25" t="n">
        <v>0.05</v>
      </c>
      <c r="C26" s="13" t="s">
        <v>67</v>
      </c>
    </row>
    <row r="27" customFormat="false" ht="15" hidden="false" customHeight="false" outlineLevel="0" collapsed="false">
      <c r="A27" s="23" t="s">
        <v>68</v>
      </c>
      <c r="B27" s="24" t="n">
        <v>127</v>
      </c>
      <c r="C27" s="13" t="s">
        <v>69</v>
      </c>
    </row>
    <row r="28" customFormat="false" ht="15" hidden="false" customHeight="false" outlineLevel="0" collapsed="false">
      <c r="A28" s="21" t="s">
        <v>70</v>
      </c>
      <c r="B28" s="22"/>
      <c r="C28" s="22"/>
    </row>
    <row r="29" customFormat="false" ht="15" hidden="false" customHeight="false" outlineLevel="0" collapsed="false">
      <c r="A29" s="23" t="s">
        <v>71</v>
      </c>
      <c r="B29" s="24" t="n">
        <v>2.3</v>
      </c>
      <c r="C29" s="13" t="s">
        <v>72</v>
      </c>
    </row>
    <row r="30" customFormat="false" ht="15" hidden="false" customHeight="false" outlineLevel="0" collapsed="false">
      <c r="A30" s="23" t="s">
        <v>73</v>
      </c>
      <c r="B30" s="24" t="n">
        <v>20</v>
      </c>
      <c r="C30" s="13" t="s">
        <v>74</v>
      </c>
    </row>
    <row r="31" customFormat="false" ht="15" hidden="false" customHeight="false" outlineLevel="0" collapsed="false">
      <c r="A31" s="23" t="s">
        <v>75</v>
      </c>
      <c r="B31" s="24" t="n">
        <v>5</v>
      </c>
      <c r="C31" s="13" t="s">
        <v>76</v>
      </c>
    </row>
    <row r="32" customFormat="false" ht="15" hidden="false" customHeight="false" outlineLevel="0" collapsed="false">
      <c r="A32" s="23" t="s">
        <v>77</v>
      </c>
      <c r="B32" s="24" t="n">
        <v>5</v>
      </c>
      <c r="C32" s="13" t="s">
        <v>78</v>
      </c>
    </row>
    <row r="33" customFormat="false" ht="15" hidden="false" customHeight="false" outlineLevel="0" collapsed="false">
      <c r="A33" s="23" t="s">
        <v>79</v>
      </c>
      <c r="B33" s="24" t="n">
        <v>500</v>
      </c>
      <c r="C33" s="13" t="s">
        <v>80</v>
      </c>
    </row>
    <row r="34" customFormat="false" ht="15" hidden="false" customHeight="false" outlineLevel="0" collapsed="false">
      <c r="A34" s="23" t="s">
        <v>81</v>
      </c>
      <c r="B34" s="25" t="n">
        <v>0.03</v>
      </c>
      <c r="C34" s="1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83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</row>
    <row r="5" customFormat="false" ht="15" hidden="false" customHeight="false" outlineLevel="0" collapsed="false">
      <c r="A5" s="5" t="s">
        <v>91</v>
      </c>
      <c r="B5" s="26" t="n">
        <v>4</v>
      </c>
      <c r="C5" s="26" t="n">
        <v>8</v>
      </c>
      <c r="D5" s="27" t="n">
        <v>0.191</v>
      </c>
      <c r="E5" s="27" t="n">
        <v>0.286</v>
      </c>
      <c r="F5" s="5" t="s">
        <v>92</v>
      </c>
    </row>
    <row r="6" customFormat="false" ht="15" hidden="false" customHeight="false" outlineLevel="0" collapsed="false">
      <c r="A6" s="5" t="s">
        <v>93</v>
      </c>
      <c r="B6" s="26" t="n">
        <v>4</v>
      </c>
      <c r="C6" s="26" t="n">
        <v>8</v>
      </c>
      <c r="D6" s="27" t="n">
        <v>0.199</v>
      </c>
      <c r="E6" s="27" t="n">
        <v>0.383</v>
      </c>
      <c r="F6" s="5"/>
    </row>
    <row r="7" customFormat="false" ht="15" hidden="false" customHeight="false" outlineLevel="0" collapsed="false">
      <c r="A7" s="5" t="s">
        <v>94</v>
      </c>
      <c r="B7" s="26" t="n">
        <v>4</v>
      </c>
      <c r="C7" s="26" t="n">
        <v>32</v>
      </c>
      <c r="D7" s="27" t="n">
        <v>0.252</v>
      </c>
      <c r="E7" s="27" t="n">
        <v>0.436</v>
      </c>
      <c r="F7" s="5"/>
    </row>
    <row r="8" customFormat="false" ht="15" hidden="false" customHeight="false" outlineLevel="0" collapsed="false">
      <c r="A8" s="5" t="s">
        <v>95</v>
      </c>
      <c r="B8" s="26" t="n">
        <v>8</v>
      </c>
      <c r="C8" s="26" t="n">
        <v>64</v>
      </c>
      <c r="D8" s="27" t="n">
        <v>0.504</v>
      </c>
      <c r="E8" s="27" t="n">
        <v>0.872</v>
      </c>
      <c r="F8" s="5"/>
    </row>
    <row r="9" customFormat="false" ht="15" hidden="false" customHeight="false" outlineLevel="0" collapsed="false">
      <c r="A9" s="5" t="s">
        <v>96</v>
      </c>
      <c r="B9" s="26" t="n">
        <v>8</v>
      </c>
      <c r="C9" s="26" t="n">
        <v>56</v>
      </c>
      <c r="D9" s="27" t="n">
        <v>0.741</v>
      </c>
      <c r="E9" s="27" t="n">
        <v>0.952</v>
      </c>
      <c r="F9" s="5"/>
    </row>
    <row r="10" customFormat="false" ht="15" hidden="false" customHeight="false" outlineLevel="0" collapsed="false">
      <c r="A10" s="5" t="s">
        <v>97</v>
      </c>
      <c r="B10" s="26" t="n">
        <v>1</v>
      </c>
      <c r="C10" s="26" t="n">
        <v>28</v>
      </c>
      <c r="D10" s="27" t="n">
        <v>0.371</v>
      </c>
      <c r="E10" s="27" t="n">
        <v>0.476</v>
      </c>
      <c r="F10" s="5" t="s">
        <v>98</v>
      </c>
    </row>
    <row r="11" customFormat="false" ht="15" hidden="false" customHeight="false" outlineLevel="0" collapsed="false">
      <c r="A11" s="5" t="s">
        <v>99</v>
      </c>
      <c r="B11" s="26" t="n">
        <v>4</v>
      </c>
      <c r="C11" s="26" t="n">
        <v>16</v>
      </c>
      <c r="D11" s="27" t="n">
        <v>0.166</v>
      </c>
      <c r="E11" s="27" t="n">
        <f aca="false">0.166+0.182</f>
        <v>0.348</v>
      </c>
      <c r="F11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1.5" hidden="false" customHeight="true" outlineLevel="0" collapsed="false">
      <c r="A4" s="4" t="s">
        <v>103</v>
      </c>
      <c r="B4" s="4" t="s">
        <v>85</v>
      </c>
      <c r="C4" s="4" t="s">
        <v>104</v>
      </c>
      <c r="D4" s="4" t="s">
        <v>105</v>
      </c>
      <c r="E4" s="4" t="s">
        <v>106</v>
      </c>
      <c r="F4" s="4" t="s">
        <v>107</v>
      </c>
      <c r="G4" s="4" t="s">
        <v>108</v>
      </c>
      <c r="H4" s="4" t="s">
        <v>109</v>
      </c>
      <c r="I4" s="4" t="s">
        <v>110</v>
      </c>
      <c r="J4" s="4" t="s">
        <v>111</v>
      </c>
      <c r="K4" s="4" t="s">
        <v>112</v>
      </c>
      <c r="L4" s="4" t="s">
        <v>113</v>
      </c>
      <c r="M4" s="4" t="s">
        <v>114</v>
      </c>
      <c r="N4" s="4" t="s">
        <v>115</v>
      </c>
      <c r="O4" s="4" t="s">
        <v>116</v>
      </c>
      <c r="P4" s="4" t="s">
        <v>117</v>
      </c>
    </row>
    <row r="5" customFormat="false" ht="15" hidden="false" customHeight="false" outlineLevel="0" collapsed="false">
      <c r="A5" s="5" t="s">
        <v>118</v>
      </c>
      <c r="B5" s="5" t="s">
        <v>91</v>
      </c>
      <c r="C5" s="5" t="s">
        <v>119</v>
      </c>
      <c r="D5" s="5" t="s">
        <v>120</v>
      </c>
      <c r="E5" s="28" t="n">
        <f aca="false">IF(D5="running",Supuestos!$B$5,Supuestos!$B$6)</f>
        <v>730</v>
      </c>
      <c r="F5" s="29" t="n">
        <f aca="false">INDEX('Precios VM'!$D$5:$E$11,MATCH(B5,'Precios VM'!$A$5:$A$11,0),IF(C5="Windows",2,1))</f>
        <v>0.191</v>
      </c>
      <c r="G5" s="30" t="n">
        <f aca="false">E5*F5</f>
        <v>139.43</v>
      </c>
      <c r="H5" s="31" t="n">
        <v>2</v>
      </c>
      <c r="I5" s="31" t="n">
        <v>94</v>
      </c>
      <c r="J5" s="32" t="s">
        <v>121</v>
      </c>
      <c r="K5" s="29" t="n">
        <f aca="false">IF(J5="Premium SSD",Supuestos!$B$11,IF(J5="Standard SSD",Supuestos!$B$12,Supuestos!$B$13))</f>
        <v>0.075</v>
      </c>
      <c r="L5" s="30" t="n">
        <f aca="false">I5*K5+IF(J5="Premium SSD",0,H5*Supuestos!$B$14)</f>
        <v>11.05</v>
      </c>
      <c r="M5" s="32" t="n">
        <v>1</v>
      </c>
      <c r="N5" s="30" t="n">
        <f aca="false">M5*IF(I5&lt;=50,5,IF(I5&lt;=500,10,10*CEILING(I5/500,1)))</f>
        <v>10</v>
      </c>
      <c r="O5" s="30" t="n">
        <f aca="false">M5*I5*Supuestos!$B$24*Supuestos!$B$23</f>
        <v>2.52672</v>
      </c>
      <c r="P5" s="30" t="n">
        <f aca="false">G5+L5+N5+O5</f>
        <v>163.00672</v>
      </c>
    </row>
    <row r="6" customFormat="false" ht="15" hidden="false" customHeight="false" outlineLevel="0" collapsed="false">
      <c r="A6" s="5" t="s">
        <v>122</v>
      </c>
      <c r="B6" s="5" t="s">
        <v>93</v>
      </c>
      <c r="C6" s="5" t="s">
        <v>123</v>
      </c>
      <c r="D6" s="5" t="s">
        <v>120</v>
      </c>
      <c r="E6" s="28" t="n">
        <f aca="false">IF(D6="running",Supuestos!$B$5,Supuestos!$B$6)</f>
        <v>730</v>
      </c>
      <c r="F6" s="29" t="n">
        <f aca="false">INDEX('Precios VM'!$D$5:$E$11,MATCH(B6,'Precios VM'!$A$5:$A$11,0),IF(C6="Windows",2,1))</f>
        <v>0.383</v>
      </c>
      <c r="G6" s="30" t="n">
        <f aca="false">E6*F6</f>
        <v>279.59</v>
      </c>
      <c r="H6" s="31" t="n">
        <v>2</v>
      </c>
      <c r="I6" s="31" t="n">
        <v>427</v>
      </c>
      <c r="J6" s="32" t="s">
        <v>124</v>
      </c>
      <c r="K6" s="29" t="n">
        <f aca="false">IF(J6="Premium SSD",Supuestos!$B$11,IF(J6="Standard SSD",Supuestos!$B$12,Supuestos!$B$13))</f>
        <v>0.132001953125</v>
      </c>
      <c r="L6" s="30" t="n">
        <f aca="false">I6*K6+IF(J6="Premium SSD",0,H6*Supuestos!$B$14)</f>
        <v>56.364833984375</v>
      </c>
      <c r="M6" s="32" t="n">
        <v>1</v>
      </c>
      <c r="N6" s="30" t="n">
        <f aca="false">M6*IF(I6&lt;=50,5,IF(I6&lt;=500,10,10*CEILING(I6/500,1)))</f>
        <v>10</v>
      </c>
      <c r="O6" s="30" t="n">
        <f aca="false">M6*I6*Supuestos!$B$24*Supuestos!$B$23</f>
        <v>11.47776</v>
      </c>
      <c r="P6" s="30" t="n">
        <f aca="false">G6+L6+N6+O6</f>
        <v>357.432593984375</v>
      </c>
    </row>
    <row r="7" customFormat="false" ht="15" hidden="false" customHeight="false" outlineLevel="0" collapsed="false">
      <c r="A7" s="5" t="s">
        <v>125</v>
      </c>
      <c r="B7" s="5" t="s">
        <v>91</v>
      </c>
      <c r="C7" s="5" t="s">
        <v>123</v>
      </c>
      <c r="D7" s="5" t="s">
        <v>120</v>
      </c>
      <c r="E7" s="28" t="n">
        <f aca="false">IF(D7="running",Supuestos!$B$5,Supuestos!$B$6)</f>
        <v>730</v>
      </c>
      <c r="F7" s="29" t="n">
        <f aca="false">INDEX('Precios VM'!$D$5:$E$11,MATCH(B7,'Precios VM'!$A$5:$A$11,0),IF(C7="Windows",2,1))</f>
        <v>0.286</v>
      </c>
      <c r="G7" s="30" t="n">
        <f aca="false">E7*F7</f>
        <v>208.78</v>
      </c>
      <c r="H7" s="31" t="n">
        <v>2</v>
      </c>
      <c r="I7" s="31" t="n">
        <v>427</v>
      </c>
      <c r="J7" s="32" t="s">
        <v>121</v>
      </c>
      <c r="K7" s="29" t="n">
        <f aca="false">IF(J7="Premium SSD",Supuestos!$B$11,IF(J7="Standard SSD",Supuestos!$B$12,Supuestos!$B$13))</f>
        <v>0.075</v>
      </c>
      <c r="L7" s="30" t="n">
        <f aca="false">I7*K7+IF(J7="Premium SSD",0,H7*Supuestos!$B$14)</f>
        <v>36.025</v>
      </c>
      <c r="M7" s="32" t="n">
        <v>1</v>
      </c>
      <c r="N7" s="30" t="n">
        <f aca="false">M7*IF(I7&lt;=50,5,IF(I7&lt;=500,10,10*CEILING(I7/500,1)))</f>
        <v>10</v>
      </c>
      <c r="O7" s="30" t="n">
        <f aca="false">M7*I7*Supuestos!$B$24*Supuestos!$B$23</f>
        <v>11.47776</v>
      </c>
      <c r="P7" s="30" t="n">
        <f aca="false">G7+L7+N7+O7</f>
        <v>266.28276</v>
      </c>
    </row>
    <row r="8" customFormat="false" ht="15" hidden="false" customHeight="false" outlineLevel="0" collapsed="false">
      <c r="A8" s="5" t="s">
        <v>126</v>
      </c>
      <c r="B8" s="5" t="s">
        <v>94</v>
      </c>
      <c r="C8" s="5" t="s">
        <v>123</v>
      </c>
      <c r="D8" s="5" t="s">
        <v>127</v>
      </c>
      <c r="E8" s="28" t="n">
        <f aca="false">IF(D8="running",Supuestos!$B$5,Supuestos!$B$6)</f>
        <v>0</v>
      </c>
      <c r="F8" s="29" t="n">
        <f aca="false">INDEX('Precios VM'!$D$5:$E$11,MATCH(B8,'Precios VM'!$A$5:$A$11,0),IF(C8="Windows",2,1))</f>
        <v>0.436</v>
      </c>
      <c r="G8" s="30" t="n">
        <f aca="false">E8*F8</f>
        <v>0</v>
      </c>
      <c r="H8" s="31" t="n">
        <v>2</v>
      </c>
      <c r="I8" s="31" t="n">
        <v>527</v>
      </c>
      <c r="J8" s="32" t="s">
        <v>124</v>
      </c>
      <c r="K8" s="29" t="n">
        <f aca="false">IF(J8="Premium SSD",Supuestos!$B$11,IF(J8="Standard SSD",Supuestos!$B$12,Supuestos!$B$13))</f>
        <v>0.132001953125</v>
      </c>
      <c r="L8" s="30" t="n">
        <f aca="false">I8*K8+IF(J8="Premium SSD",0,H8*Supuestos!$B$14)</f>
        <v>69.565029296875</v>
      </c>
      <c r="M8" s="32" t="n">
        <v>1</v>
      </c>
      <c r="N8" s="30" t="n">
        <f aca="false">M8*IF(I8&lt;=50,5,IF(I8&lt;=500,10,10*CEILING(I8/500,1)))</f>
        <v>20</v>
      </c>
      <c r="O8" s="30" t="n">
        <f aca="false">M8*I8*Supuestos!$B$24*Supuestos!$B$23</f>
        <v>14.16576</v>
      </c>
      <c r="P8" s="30" t="n">
        <f aca="false">G8+L8+N8+O8</f>
        <v>103.730789296875</v>
      </c>
    </row>
    <row r="9" customFormat="false" ht="15" hidden="false" customHeight="false" outlineLevel="0" collapsed="false">
      <c r="A9" s="5" t="s">
        <v>128</v>
      </c>
      <c r="B9" s="5" t="s">
        <v>94</v>
      </c>
      <c r="C9" s="5" t="s">
        <v>123</v>
      </c>
      <c r="D9" s="5" t="s">
        <v>127</v>
      </c>
      <c r="E9" s="28" t="n">
        <f aca="false">IF(D9="running",Supuestos!$B$5,Supuestos!$B$6)</f>
        <v>0</v>
      </c>
      <c r="F9" s="29" t="n">
        <f aca="false">INDEX('Precios VM'!$D$5:$E$11,MATCH(B9,'Precios VM'!$A$5:$A$11,0),IF(C9="Windows",2,1))</f>
        <v>0.436</v>
      </c>
      <c r="G9" s="30" t="n">
        <f aca="false">E9*F9</f>
        <v>0</v>
      </c>
      <c r="H9" s="31" t="n">
        <v>2</v>
      </c>
      <c r="I9" s="31" t="n">
        <v>1000</v>
      </c>
      <c r="J9" s="32" t="s">
        <v>124</v>
      </c>
      <c r="K9" s="29" t="n">
        <f aca="false">IF(J9="Premium SSD",Supuestos!$B$11,IF(J9="Standard SSD",Supuestos!$B$12,Supuestos!$B$13))</f>
        <v>0.132001953125</v>
      </c>
      <c r="L9" s="30" t="n">
        <f aca="false">I9*K9+IF(J9="Premium SSD",0,H9*Supuestos!$B$14)</f>
        <v>132.001953125</v>
      </c>
      <c r="M9" s="32" t="n">
        <v>1</v>
      </c>
      <c r="N9" s="30" t="n">
        <f aca="false">M9*IF(I9&lt;=50,5,IF(I9&lt;=500,10,10*CEILING(I9/500,1)))</f>
        <v>20</v>
      </c>
      <c r="O9" s="30" t="n">
        <f aca="false">M9*I9*Supuestos!$B$24*Supuestos!$B$23</f>
        <v>26.88</v>
      </c>
      <c r="P9" s="30" t="n">
        <f aca="false">G9+L9+N9+O9</f>
        <v>178.881953125</v>
      </c>
    </row>
    <row r="10" customFormat="false" ht="15" hidden="false" customHeight="false" outlineLevel="0" collapsed="false">
      <c r="A10" s="5" t="s">
        <v>129</v>
      </c>
      <c r="B10" s="5" t="s">
        <v>96</v>
      </c>
      <c r="C10" s="5" t="s">
        <v>123</v>
      </c>
      <c r="D10" s="5" t="s">
        <v>120</v>
      </c>
      <c r="E10" s="28" t="n">
        <f aca="false">IF(D10="running",Supuestos!$B$5,Supuestos!$B$6)</f>
        <v>730</v>
      </c>
      <c r="F10" s="29" t="n">
        <f aca="false">INDEX('Precios VM'!$D$5:$E$11,MATCH(B10,'Precios VM'!$A$5:$A$11,0),IF(C10="Windows",2,1))</f>
        <v>0.952</v>
      </c>
      <c r="G10" s="30" t="n">
        <f aca="false">E10*F10</f>
        <v>694.96</v>
      </c>
      <c r="H10" s="31" t="n">
        <v>7</v>
      </c>
      <c r="I10" s="31" t="n">
        <v>1275</v>
      </c>
      <c r="J10" s="32" t="s">
        <v>124</v>
      </c>
      <c r="K10" s="29" t="n">
        <f aca="false">IF(J10="Premium SSD",Supuestos!$B$11,IF(J10="Standard SSD",Supuestos!$B$12,Supuestos!$B$13))</f>
        <v>0.132001953125</v>
      </c>
      <c r="L10" s="30" t="n">
        <f aca="false">I10*K10+IF(J10="Premium SSD",0,H10*Supuestos!$B$14)</f>
        <v>168.302490234375</v>
      </c>
      <c r="M10" s="32" t="n">
        <v>1</v>
      </c>
      <c r="N10" s="30" t="n">
        <f aca="false">M10*IF(I10&lt;=50,5,IF(I10&lt;=500,10,10*CEILING(I10/500,1)))</f>
        <v>30</v>
      </c>
      <c r="O10" s="30" t="n">
        <f aca="false">M10*I10*Supuestos!$B$24*Supuestos!$B$23</f>
        <v>34.272</v>
      </c>
      <c r="P10" s="30" t="n">
        <f aca="false">G10+L10+N10+O10</f>
        <v>927.534490234375</v>
      </c>
    </row>
    <row r="11" customFormat="false" ht="15" hidden="false" customHeight="false" outlineLevel="0" collapsed="false">
      <c r="A11" s="5" t="s">
        <v>130</v>
      </c>
      <c r="B11" s="5" t="s">
        <v>97</v>
      </c>
      <c r="C11" s="5" t="s">
        <v>123</v>
      </c>
      <c r="D11" s="5" t="s">
        <v>120</v>
      </c>
      <c r="E11" s="28" t="n">
        <f aca="false">IF(D11="running",Supuestos!$B$5,Supuestos!$B$6)</f>
        <v>730</v>
      </c>
      <c r="F11" s="29" t="n">
        <f aca="false">INDEX('Precios VM'!$D$5:$E$11,MATCH(B11,'Precios VM'!$A$5:$A$11,0),IF(C11="Windows",2,1))</f>
        <v>0.476</v>
      </c>
      <c r="G11" s="30" t="n">
        <f aca="false">E11*F11</f>
        <v>347.48</v>
      </c>
      <c r="H11" s="31" t="n">
        <v>6</v>
      </c>
      <c r="I11" s="31" t="n">
        <v>975</v>
      </c>
      <c r="J11" s="32" t="s">
        <v>124</v>
      </c>
      <c r="K11" s="29" t="n">
        <f aca="false">IF(J11="Premium SSD",Supuestos!$B$11,IF(J11="Standard SSD",Supuestos!$B$12,Supuestos!$B$13))</f>
        <v>0.132001953125</v>
      </c>
      <c r="L11" s="30" t="n">
        <f aca="false">I11*K11+IF(J11="Premium SSD",0,H11*Supuestos!$B$14)</f>
        <v>128.701904296875</v>
      </c>
      <c r="M11" s="32" t="n">
        <v>1</v>
      </c>
      <c r="N11" s="30" t="n">
        <f aca="false">M11*IF(I11&lt;=50,5,IF(I11&lt;=500,10,10*CEILING(I11/500,1)))</f>
        <v>20</v>
      </c>
      <c r="O11" s="30" t="n">
        <f aca="false">M11*I11*Supuestos!$B$24*Supuestos!$B$23</f>
        <v>26.208</v>
      </c>
      <c r="P11" s="30" t="n">
        <f aca="false">G11+L11+N11+O11</f>
        <v>522.389904296875</v>
      </c>
    </row>
    <row r="12" customFormat="false" ht="15" hidden="false" customHeight="false" outlineLevel="0" collapsed="false">
      <c r="A12" s="5" t="s">
        <v>131</v>
      </c>
      <c r="B12" s="5" t="s">
        <v>96</v>
      </c>
      <c r="C12" s="5" t="s">
        <v>123</v>
      </c>
      <c r="D12" s="5" t="s">
        <v>120</v>
      </c>
      <c r="E12" s="28" t="n">
        <f aca="false">IF(D12="running",Supuestos!$B$5,Supuestos!$B$6)</f>
        <v>730</v>
      </c>
      <c r="F12" s="29" t="n">
        <f aca="false">INDEX('Precios VM'!$D$5:$E$11,MATCH(B12,'Precios VM'!$A$5:$A$11,0),IF(C12="Windows",2,1))</f>
        <v>0.952</v>
      </c>
      <c r="G12" s="30" t="n">
        <f aca="false">E12*F12</f>
        <v>694.96</v>
      </c>
      <c r="H12" s="31" t="n">
        <v>7</v>
      </c>
      <c r="I12" s="31" t="n">
        <v>1275</v>
      </c>
      <c r="J12" s="32" t="s">
        <v>124</v>
      </c>
      <c r="K12" s="29" t="n">
        <f aca="false">IF(J12="Premium SSD",Supuestos!$B$11,IF(J12="Standard SSD",Supuestos!$B$12,Supuestos!$B$13))</f>
        <v>0.132001953125</v>
      </c>
      <c r="L12" s="30" t="n">
        <f aca="false">I12*K12+IF(J12="Premium SSD",0,H12*Supuestos!$B$14)</f>
        <v>168.302490234375</v>
      </c>
      <c r="M12" s="32" t="n">
        <v>0</v>
      </c>
      <c r="N12" s="30" t="n">
        <f aca="false">M12*IF(I12&lt;=50,5,IF(I12&lt;=500,10,10*CEILING(I12/500,1)))</f>
        <v>0</v>
      </c>
      <c r="O12" s="30" t="n">
        <f aca="false">M12*I12*Supuestos!$B$24*Supuestos!$B$23</f>
        <v>0</v>
      </c>
      <c r="P12" s="30" t="n">
        <f aca="false">G12+L12+N12+O12</f>
        <v>863.262490234375</v>
      </c>
    </row>
    <row r="13" customFormat="false" ht="15" hidden="false" customHeight="false" outlineLevel="0" collapsed="false">
      <c r="A13" s="5" t="s">
        <v>132</v>
      </c>
      <c r="B13" s="5" t="s">
        <v>95</v>
      </c>
      <c r="C13" s="5" t="s">
        <v>123</v>
      </c>
      <c r="D13" s="5" t="s">
        <v>127</v>
      </c>
      <c r="E13" s="28" t="n">
        <f aca="false">IF(D13="running",Supuestos!$B$5,Supuestos!$B$6)</f>
        <v>0</v>
      </c>
      <c r="F13" s="29" t="n">
        <f aca="false">INDEX('Precios VM'!$D$5:$E$11,MATCH(B13,'Precios VM'!$A$5:$A$11,0),IF(C13="Windows",2,1))</f>
        <v>0.872</v>
      </c>
      <c r="G13" s="30" t="n">
        <f aca="false">E13*F13</f>
        <v>0</v>
      </c>
      <c r="H13" s="31" t="n">
        <v>2</v>
      </c>
      <c r="I13" s="31" t="n">
        <v>627</v>
      </c>
      <c r="J13" s="32" t="s">
        <v>124</v>
      </c>
      <c r="K13" s="29" t="n">
        <f aca="false">IF(J13="Premium SSD",Supuestos!$B$11,IF(J13="Standard SSD",Supuestos!$B$12,Supuestos!$B$13))</f>
        <v>0.132001953125</v>
      </c>
      <c r="L13" s="30" t="n">
        <f aca="false">I13*K13+IF(J13="Premium SSD",0,H13*Supuestos!$B$14)</f>
        <v>82.765224609375</v>
      </c>
      <c r="M13" s="32" t="n">
        <v>1</v>
      </c>
      <c r="N13" s="30" t="n">
        <f aca="false">M13*IF(I13&lt;=50,5,IF(I13&lt;=500,10,10*CEILING(I13/500,1)))</f>
        <v>20</v>
      </c>
      <c r="O13" s="30" t="n">
        <f aca="false">M13*I13*Supuestos!$B$24*Supuestos!$B$23</f>
        <v>16.85376</v>
      </c>
      <c r="P13" s="30" t="n">
        <f aca="false">G13+L13+N13+O13</f>
        <v>119.618984609375</v>
      </c>
    </row>
    <row r="14" customFormat="false" ht="15" hidden="false" customHeight="false" outlineLevel="0" collapsed="false">
      <c r="A14" s="5" t="s">
        <v>133</v>
      </c>
      <c r="B14" s="5" t="s">
        <v>95</v>
      </c>
      <c r="C14" s="5" t="s">
        <v>123</v>
      </c>
      <c r="D14" s="5" t="s">
        <v>127</v>
      </c>
      <c r="E14" s="28" t="n">
        <f aca="false">IF(D14="running",Supuestos!$B$5,Supuestos!$B$6)</f>
        <v>0</v>
      </c>
      <c r="F14" s="29" t="n">
        <f aca="false">INDEX('Precios VM'!$D$5:$E$11,MATCH(B14,'Precios VM'!$A$5:$A$11,0),IF(C14="Windows",2,1))</f>
        <v>0.872</v>
      </c>
      <c r="G14" s="30" t="n">
        <f aca="false">E14*F14</f>
        <v>0</v>
      </c>
      <c r="H14" s="31" t="n">
        <v>3</v>
      </c>
      <c r="I14" s="31" t="n">
        <v>2163</v>
      </c>
      <c r="J14" s="32" t="s">
        <v>124</v>
      </c>
      <c r="K14" s="29" t="n">
        <f aca="false">IF(J14="Premium SSD",Supuestos!$B$11,IF(J14="Standard SSD",Supuestos!$B$12,Supuestos!$B$13))</f>
        <v>0.132001953125</v>
      </c>
      <c r="L14" s="30" t="n">
        <f aca="false">I14*K14+IF(J14="Premium SSD",0,H14*Supuestos!$B$14)</f>
        <v>285.520224609375</v>
      </c>
      <c r="M14" s="32" t="n">
        <v>1</v>
      </c>
      <c r="N14" s="30" t="n">
        <f aca="false">M14*IF(I14&lt;=50,5,IF(I14&lt;=500,10,10*CEILING(I14/500,1)))</f>
        <v>50</v>
      </c>
      <c r="O14" s="30" t="n">
        <f aca="false">M14*I14*Supuestos!$B$24*Supuestos!$B$23</f>
        <v>58.14144</v>
      </c>
      <c r="P14" s="30" t="n">
        <f aca="false">G14+L14+N14+O14</f>
        <v>393.661664609375</v>
      </c>
    </row>
    <row r="15" customFormat="false" ht="15" hidden="false" customHeight="false" outlineLevel="0" collapsed="false">
      <c r="A15" s="5" t="s">
        <v>134</v>
      </c>
      <c r="B15" s="5" t="s">
        <v>94</v>
      </c>
      <c r="C15" s="5" t="s">
        <v>123</v>
      </c>
      <c r="D15" s="5" t="s">
        <v>127</v>
      </c>
      <c r="E15" s="28" t="n">
        <f aca="false">IF(D15="running",Supuestos!$B$5,Supuestos!$B$6)</f>
        <v>0</v>
      </c>
      <c r="F15" s="29" t="n">
        <f aca="false">INDEX('Precios VM'!$D$5:$E$11,MATCH(B15,'Precios VM'!$A$5:$A$11,0),IF(C15="Windows",2,1))</f>
        <v>0.436</v>
      </c>
      <c r="G15" s="30" t="n">
        <f aca="false">E15*F15</f>
        <v>0</v>
      </c>
      <c r="H15" s="31" t="n">
        <v>2</v>
      </c>
      <c r="I15" s="31" t="n">
        <v>277</v>
      </c>
      <c r="J15" s="32" t="s">
        <v>124</v>
      </c>
      <c r="K15" s="29" t="n">
        <f aca="false">IF(J15="Premium SSD",Supuestos!$B$11,IF(J15="Standard SSD",Supuestos!$B$12,Supuestos!$B$13))</f>
        <v>0.132001953125</v>
      </c>
      <c r="L15" s="30" t="n">
        <f aca="false">I15*K15+IF(J15="Premium SSD",0,H15*Supuestos!$B$14)</f>
        <v>36.564541015625</v>
      </c>
      <c r="M15" s="32" t="n">
        <v>1</v>
      </c>
      <c r="N15" s="30" t="n">
        <f aca="false">M15*IF(I15&lt;=50,5,IF(I15&lt;=500,10,10*CEILING(I15/500,1)))</f>
        <v>10</v>
      </c>
      <c r="O15" s="30" t="n">
        <f aca="false">M15*I15*Supuestos!$B$24*Supuestos!$B$23</f>
        <v>7.44576</v>
      </c>
      <c r="P15" s="30" t="n">
        <f aca="false">G15+L15+N15+O15</f>
        <v>54.010301015625</v>
      </c>
    </row>
    <row r="16" customFormat="false" ht="15" hidden="false" customHeight="false" outlineLevel="0" collapsed="false">
      <c r="A16" s="5" t="s">
        <v>135</v>
      </c>
      <c r="B16" s="5" t="s">
        <v>94</v>
      </c>
      <c r="C16" s="5" t="s">
        <v>123</v>
      </c>
      <c r="D16" s="5" t="s">
        <v>127</v>
      </c>
      <c r="E16" s="28" t="n">
        <f aca="false">IF(D16="running",Supuestos!$B$5,Supuestos!$B$6)</f>
        <v>0</v>
      </c>
      <c r="F16" s="29" t="n">
        <f aca="false">INDEX('Precios VM'!$D$5:$E$11,MATCH(B16,'Precios VM'!$A$5:$A$11,0),IF(C16="Windows",2,1))</f>
        <v>0.436</v>
      </c>
      <c r="G16" s="30" t="n">
        <f aca="false">E16*F16</f>
        <v>0</v>
      </c>
      <c r="H16" s="31" t="n">
        <v>2</v>
      </c>
      <c r="I16" s="31" t="n">
        <v>727</v>
      </c>
      <c r="J16" s="32" t="s">
        <v>124</v>
      </c>
      <c r="K16" s="29" t="n">
        <f aca="false">IF(J16="Premium SSD",Supuestos!$B$11,IF(J16="Standard SSD",Supuestos!$B$12,Supuestos!$B$13))</f>
        <v>0.132001953125</v>
      </c>
      <c r="L16" s="30" t="n">
        <f aca="false">I16*K16+IF(J16="Premium SSD",0,H16*Supuestos!$B$14)</f>
        <v>95.965419921875</v>
      </c>
      <c r="M16" s="32" t="n">
        <v>1</v>
      </c>
      <c r="N16" s="30" t="n">
        <f aca="false">M16*IF(I16&lt;=50,5,IF(I16&lt;=500,10,10*CEILING(I16/500,1)))</f>
        <v>20</v>
      </c>
      <c r="O16" s="30" t="n">
        <f aca="false">M16*I16*Supuestos!$B$24*Supuestos!$B$23</f>
        <v>19.54176</v>
      </c>
      <c r="P16" s="30" t="n">
        <f aca="false">G16+L16+N16+O16</f>
        <v>135.507179921875</v>
      </c>
    </row>
    <row r="17" customFormat="false" ht="15" hidden="false" customHeight="false" outlineLevel="0" collapsed="false">
      <c r="A17" s="5" t="s">
        <v>136</v>
      </c>
      <c r="B17" s="5" t="s">
        <v>91</v>
      </c>
      <c r="C17" s="5" t="s">
        <v>123</v>
      </c>
      <c r="D17" s="5" t="s">
        <v>120</v>
      </c>
      <c r="E17" s="28" t="n">
        <f aca="false">IF(D17="running",Supuestos!$B$5,Supuestos!$B$6)</f>
        <v>730</v>
      </c>
      <c r="F17" s="29" t="n">
        <f aca="false">INDEX('Precios VM'!$D$5:$E$11,MATCH(B17,'Precios VM'!$A$5:$A$11,0),IF(C17="Windows",2,1))</f>
        <v>0.286</v>
      </c>
      <c r="G17" s="30" t="n">
        <f aca="false">E17*F17</f>
        <v>208.78</v>
      </c>
      <c r="H17" s="31" t="n">
        <v>2</v>
      </c>
      <c r="I17" s="31" t="n">
        <v>427</v>
      </c>
      <c r="J17" s="32" t="s">
        <v>121</v>
      </c>
      <c r="K17" s="29" t="n">
        <f aca="false">IF(J17="Premium SSD",Supuestos!$B$11,IF(J17="Standard SSD",Supuestos!$B$12,Supuestos!$B$13))</f>
        <v>0.075</v>
      </c>
      <c r="L17" s="30" t="n">
        <f aca="false">I17*K17+IF(J17="Premium SSD",0,H17*Supuestos!$B$14)</f>
        <v>36.025</v>
      </c>
      <c r="M17" s="32" t="n">
        <v>1</v>
      </c>
      <c r="N17" s="30" t="n">
        <f aca="false">M17*IF(I17&lt;=50,5,IF(I17&lt;=500,10,10*CEILING(I17/500,1)))</f>
        <v>10</v>
      </c>
      <c r="O17" s="30" t="n">
        <f aca="false">M17*I17*Supuestos!$B$24*Supuestos!$B$23</f>
        <v>11.47776</v>
      </c>
      <c r="P17" s="30" t="n">
        <f aca="false">G17+L17+N17+O17</f>
        <v>266.28276</v>
      </c>
    </row>
    <row r="18" customFormat="false" ht="15" hidden="false" customHeight="false" outlineLevel="0" collapsed="false">
      <c r="A18" s="5" t="s">
        <v>137</v>
      </c>
      <c r="B18" s="5" t="s">
        <v>99</v>
      </c>
      <c r="C18" s="5" t="s">
        <v>123</v>
      </c>
      <c r="D18" s="5" t="s">
        <v>120</v>
      </c>
      <c r="E18" s="28" t="n">
        <f aca="false">IF(D18="running",Supuestos!$B$5,Supuestos!$B$6)</f>
        <v>730</v>
      </c>
      <c r="F18" s="29" t="n">
        <f aca="false">INDEX('Precios VM'!$D$5:$E$11,MATCH(B18,'Precios VM'!$A$5:$A$11,0),IF(C18="Windows",2,1))</f>
        <v>0.348</v>
      </c>
      <c r="G18" s="30" t="n">
        <f aca="false">E18*F18</f>
        <v>254.04</v>
      </c>
      <c r="H18" s="31" t="n">
        <v>6</v>
      </c>
      <c r="I18" s="31" t="n">
        <v>1098</v>
      </c>
      <c r="J18" s="32" t="s">
        <v>124</v>
      </c>
      <c r="K18" s="29" t="n">
        <f aca="false">IF(J18="Premium SSD",Supuestos!$B$11,IF(J18="Standard SSD",Supuestos!$B$12,Supuestos!$B$13))</f>
        <v>0.132001953125</v>
      </c>
      <c r="L18" s="30" t="n">
        <f aca="false">I18*K18+IF(J18="Premium SSD",0,H18*Supuestos!$B$14)</f>
        <v>144.93814453125</v>
      </c>
      <c r="M18" s="32" t="n">
        <v>1</v>
      </c>
      <c r="N18" s="30" t="n">
        <f aca="false">M18*IF(I18&lt;=50,5,IF(I18&lt;=500,10,10*CEILING(I18/500,1)))</f>
        <v>30</v>
      </c>
      <c r="O18" s="30" t="n">
        <f aca="false">M18*I18*Supuestos!$B$24*Supuestos!$B$23</f>
        <v>29.51424</v>
      </c>
      <c r="P18" s="30" t="n">
        <f aca="false">G18+L18+N18+O18</f>
        <v>458.49238453125</v>
      </c>
    </row>
    <row r="19" customFormat="false" ht="15" hidden="false" customHeight="false" outlineLevel="0" collapsed="false">
      <c r="A19" s="5" t="s">
        <v>138</v>
      </c>
      <c r="B19" s="5" t="s">
        <v>91</v>
      </c>
      <c r="C19" s="5" t="s">
        <v>123</v>
      </c>
      <c r="D19" s="5" t="s">
        <v>120</v>
      </c>
      <c r="E19" s="28" t="n">
        <f aca="false">IF(D19="running",Supuestos!$B$5,Supuestos!$B$6)</f>
        <v>730</v>
      </c>
      <c r="F19" s="29" t="n">
        <f aca="false">INDEX('Precios VM'!$D$5:$E$11,MATCH(B19,'Precios VM'!$A$5:$A$11,0),IF(C19="Windows",2,1))</f>
        <v>0.286</v>
      </c>
      <c r="G19" s="30" t="n">
        <f aca="false">E19*F19</f>
        <v>208.78</v>
      </c>
      <c r="H19" s="31" t="n">
        <v>2</v>
      </c>
      <c r="I19" s="31" t="n">
        <v>210</v>
      </c>
      <c r="J19" s="32" t="s">
        <v>121</v>
      </c>
      <c r="K19" s="29" t="n">
        <f aca="false">IF(J19="Premium SSD",Supuestos!$B$11,IF(J19="Standard SSD",Supuestos!$B$12,Supuestos!$B$13))</f>
        <v>0.075</v>
      </c>
      <c r="L19" s="30" t="n">
        <f aca="false">I19*K19+IF(J19="Premium SSD",0,H19*Supuestos!$B$14)</f>
        <v>19.75</v>
      </c>
      <c r="M19" s="32" t="n">
        <v>1</v>
      </c>
      <c r="N19" s="30" t="n">
        <f aca="false">M19*IF(I19&lt;=50,5,IF(I19&lt;=500,10,10*CEILING(I19/500,1)))</f>
        <v>10</v>
      </c>
      <c r="O19" s="30" t="n">
        <f aca="false">M19*I19*Supuestos!$B$24*Supuestos!$B$23</f>
        <v>5.6448</v>
      </c>
      <c r="P19" s="30" t="n">
        <f aca="false">G19+L19+N19+O19</f>
        <v>244.1748</v>
      </c>
    </row>
    <row r="20" customFormat="false" ht="15" hidden="false" customHeight="false" outlineLevel="0" collapsed="false">
      <c r="A20" s="33" t="s">
        <v>139</v>
      </c>
      <c r="B20" s="34"/>
      <c r="C20" s="34"/>
      <c r="D20" s="34"/>
      <c r="E20" s="35" t="n">
        <f aca="false">SUM(E5:E19)</f>
        <v>6570</v>
      </c>
      <c r="F20" s="34"/>
      <c r="G20" s="36" t="n">
        <f aca="false">SUM(G5:G19)</f>
        <v>3036.8</v>
      </c>
      <c r="H20" s="35" t="n">
        <f aca="false">SUM(H5:H19)</f>
        <v>49</v>
      </c>
      <c r="I20" s="35" t="n">
        <f aca="false">SUM(I5:I19)</f>
        <v>11529</v>
      </c>
      <c r="J20" s="34"/>
      <c r="K20" s="34"/>
      <c r="L20" s="36" t="n">
        <f aca="false">SUM(L5:L19)</f>
        <v>1471.84225585938</v>
      </c>
      <c r="M20" s="34"/>
      <c r="N20" s="36" t="n">
        <f aca="false">SUM(N5:N19)</f>
        <v>270</v>
      </c>
      <c r="O20" s="36" t="n">
        <f aca="false">SUM(O5:O19)</f>
        <v>275.62752</v>
      </c>
      <c r="P20" s="36" t="n">
        <f aca="false">SUM(P5:P19)</f>
        <v>5054.26977585938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37" t="s">
        <v>140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38" t="s">
        <v>141</v>
      </c>
      <c r="B23" s="38" t="s">
        <v>142</v>
      </c>
      <c r="C23" s="38"/>
      <c r="D23" s="38"/>
      <c r="E23" s="38" t="s">
        <v>143</v>
      </c>
      <c r="F23" s="38" t="s">
        <v>144</v>
      </c>
      <c r="G23" s="38" t="s">
        <v>145</v>
      </c>
      <c r="H23" s="38"/>
      <c r="I23" s="38"/>
      <c r="J23" s="38"/>
      <c r="K23" s="38"/>
      <c r="L23" s="38"/>
      <c r="M23" s="38"/>
      <c r="N23" s="38"/>
      <c r="O23" s="38"/>
      <c r="P23" s="38" t="s">
        <v>146</v>
      </c>
    </row>
    <row r="24" customFormat="false" ht="15" hidden="false" customHeight="false" outlineLevel="0" collapsed="false">
      <c r="A24" s="5" t="s">
        <v>147</v>
      </c>
      <c r="B24" s="5" t="s">
        <v>148</v>
      </c>
      <c r="C24" s="5"/>
      <c r="D24" s="5"/>
      <c r="E24" s="39" t="n">
        <f aca="false">Supuestos!$B$9*Supuestos!$B$8</f>
        <v>0</v>
      </c>
      <c r="F24" s="29" t="n">
        <f aca="false">Supuestos!$B$13</f>
        <v>0.04</v>
      </c>
      <c r="G24" s="5" t="s">
        <v>149</v>
      </c>
      <c r="H24" s="16"/>
      <c r="I24" s="16"/>
      <c r="J24" s="16"/>
      <c r="K24" s="16"/>
      <c r="L24" s="16"/>
      <c r="M24" s="16"/>
      <c r="N24" s="16"/>
      <c r="O24" s="16"/>
      <c r="P24" s="30" t="n">
        <f aca="false">E24*F24</f>
        <v>0</v>
      </c>
    </row>
    <row r="25" customFormat="false" ht="15" hidden="false" customHeight="false" outlineLevel="0" collapsed="false">
      <c r="A25" s="5" t="s">
        <v>150</v>
      </c>
      <c r="B25" s="5" t="s">
        <v>151</v>
      </c>
      <c r="C25" s="5"/>
      <c r="D25" s="5"/>
      <c r="E25" s="39" t="n">
        <f aca="false">Supuestos!$B$17</f>
        <v>29</v>
      </c>
      <c r="F25" s="29" t="n">
        <f aca="false">Supuestos!$B$16*Supuestos!$B$5</f>
        <v>3.65</v>
      </c>
      <c r="G25" s="5" t="s">
        <v>152</v>
      </c>
      <c r="H25" s="16"/>
      <c r="I25" s="16"/>
      <c r="J25" s="16"/>
      <c r="K25" s="16"/>
      <c r="L25" s="16"/>
      <c r="M25" s="16"/>
      <c r="N25" s="16"/>
      <c r="O25" s="16"/>
      <c r="P25" s="30" t="n">
        <f aca="false">E25*F25</f>
        <v>105.85</v>
      </c>
    </row>
    <row r="26" customFormat="false" ht="15" hidden="false" customHeight="false" outlineLevel="0" collapsed="false">
      <c r="A26" s="5" t="s">
        <v>153</v>
      </c>
      <c r="B26" s="5" t="s">
        <v>154</v>
      </c>
      <c r="C26" s="5"/>
      <c r="D26" s="5"/>
      <c r="E26" s="39" t="n">
        <v>1</v>
      </c>
      <c r="F26" s="29" t="n">
        <f aca="false">Supuestos!$B$18*Supuestos!$B$5</f>
        <v>138.7</v>
      </c>
      <c r="G26" s="5" t="s">
        <v>155</v>
      </c>
      <c r="H26" s="16"/>
      <c r="I26" s="16"/>
      <c r="J26" s="16"/>
      <c r="K26" s="16"/>
      <c r="L26" s="16"/>
      <c r="M26" s="16"/>
      <c r="N26" s="16"/>
      <c r="O26" s="16"/>
      <c r="P26" s="30" t="n">
        <f aca="false">E26*F26</f>
        <v>138.7</v>
      </c>
    </row>
    <row r="27" customFormat="false" ht="15" hidden="false" customHeight="false" outlineLevel="0" collapsed="false">
      <c r="A27" s="5" t="s">
        <v>156</v>
      </c>
      <c r="B27" s="5" t="s">
        <v>157</v>
      </c>
      <c r="C27" s="5"/>
      <c r="D27" s="5"/>
      <c r="E27" s="39" t="n">
        <f aca="false">Supuestos!$B$20</f>
        <v>1</v>
      </c>
      <c r="F27" s="29" t="n">
        <f aca="false">Supuestos!$B$19</f>
        <v>35</v>
      </c>
      <c r="G27" s="5" t="s">
        <v>158</v>
      </c>
      <c r="H27" s="16"/>
      <c r="I27" s="16"/>
      <c r="J27" s="16"/>
      <c r="K27" s="16"/>
      <c r="L27" s="16"/>
      <c r="M27" s="16"/>
      <c r="N27" s="16"/>
      <c r="O27" s="16"/>
      <c r="P27" s="30" t="n">
        <f aca="false">E27*F27</f>
        <v>35</v>
      </c>
    </row>
    <row r="28" customFormat="false" ht="15" hidden="false" customHeight="false" outlineLevel="0" collapsed="false">
      <c r="A28" s="5" t="s">
        <v>159</v>
      </c>
      <c r="B28" s="5" t="s">
        <v>160</v>
      </c>
      <c r="C28" s="5"/>
      <c r="D28" s="5"/>
      <c r="E28" s="39" t="n">
        <v>1</v>
      </c>
      <c r="F28" s="29" t="n">
        <f aca="false">Supuestos!$B$21</f>
        <v>25</v>
      </c>
      <c r="G28" s="5" t="s">
        <v>161</v>
      </c>
      <c r="H28" s="16"/>
      <c r="I28" s="16"/>
      <c r="J28" s="16"/>
      <c r="K28" s="16"/>
      <c r="L28" s="16"/>
      <c r="M28" s="16"/>
      <c r="N28" s="16"/>
      <c r="O28" s="16"/>
      <c r="P28" s="30" t="n">
        <f aca="false">E28*F28</f>
        <v>25</v>
      </c>
    </row>
    <row r="29" customFormat="false" ht="15" hidden="false" customHeight="false" outlineLevel="0" collapsed="false">
      <c r="A29" s="5" t="s">
        <v>162</v>
      </c>
      <c r="B29" s="5" t="s">
        <v>163</v>
      </c>
      <c r="C29" s="5"/>
      <c r="D29" s="5"/>
      <c r="E29" s="39" t="n">
        <f aca="false">Supuestos!$B$27</f>
        <v>127</v>
      </c>
      <c r="F29" s="29" t="n">
        <f aca="false">Supuestos!$B$26</f>
        <v>0.05</v>
      </c>
      <c r="G29" s="5" t="s">
        <v>149</v>
      </c>
      <c r="H29" s="16"/>
      <c r="I29" s="16"/>
      <c r="J29" s="16"/>
      <c r="K29" s="16"/>
      <c r="L29" s="16"/>
      <c r="M29" s="16"/>
      <c r="N29" s="16"/>
      <c r="O29" s="16"/>
      <c r="P29" s="30" t="n">
        <f aca="false">E29*F29</f>
        <v>6.35</v>
      </c>
    </row>
    <row r="30" customFormat="false" ht="15" hidden="false" customHeight="false" outlineLevel="0" collapsed="false">
      <c r="A30" s="5" t="s">
        <v>164</v>
      </c>
      <c r="B30" s="5" t="s">
        <v>165</v>
      </c>
      <c r="C30" s="5"/>
      <c r="D30" s="5"/>
      <c r="E30" s="39" t="n">
        <f aca="false">Supuestos!$B$33</f>
        <v>500</v>
      </c>
      <c r="F30" s="29" t="n">
        <f aca="false">Supuestos!$B$34</f>
        <v>0.03</v>
      </c>
      <c r="G30" s="5" t="s">
        <v>149</v>
      </c>
      <c r="H30" s="16"/>
      <c r="I30" s="16"/>
      <c r="J30" s="16"/>
      <c r="K30" s="16"/>
      <c r="L30" s="16"/>
      <c r="M30" s="16"/>
      <c r="N30" s="16"/>
      <c r="O30" s="16"/>
      <c r="P30" s="30" t="n">
        <f aca="false">E30*F30</f>
        <v>15</v>
      </c>
    </row>
    <row r="31" customFormat="false" ht="15" hidden="false" customHeight="false" outlineLevel="0" collapsed="false">
      <c r="A31" s="5" t="s">
        <v>166</v>
      </c>
      <c r="B31" s="5" t="s">
        <v>167</v>
      </c>
      <c r="C31" s="5"/>
      <c r="D31" s="5"/>
      <c r="E31" s="39" t="n">
        <f aca="false">MAX(0,Supuestos!$B$30-5)</f>
        <v>15</v>
      </c>
      <c r="F31" s="29" t="n">
        <f aca="false">Supuestos!$B$29</f>
        <v>2.3</v>
      </c>
      <c r="G31" s="5" t="s">
        <v>110</v>
      </c>
      <c r="H31" s="16"/>
      <c r="I31" s="16"/>
      <c r="J31" s="16"/>
      <c r="K31" s="16"/>
      <c r="L31" s="16"/>
      <c r="M31" s="16"/>
      <c r="N31" s="16"/>
      <c r="O31" s="16"/>
      <c r="P31" s="30" t="n">
        <f aca="false">E31*F31</f>
        <v>34.5</v>
      </c>
    </row>
    <row r="32" customFormat="false" ht="15" hidden="false" customHeight="false" outlineLevel="0" collapsed="false">
      <c r="A32" s="5" t="s">
        <v>168</v>
      </c>
      <c r="B32" s="5" t="s">
        <v>169</v>
      </c>
      <c r="C32" s="5"/>
      <c r="D32" s="5"/>
      <c r="E32" s="39" t="n">
        <v>1</v>
      </c>
      <c r="F32" s="29" t="n">
        <f aca="false">Supuestos!$B$31</f>
        <v>5</v>
      </c>
      <c r="G32" s="5" t="s">
        <v>161</v>
      </c>
      <c r="H32" s="16"/>
      <c r="I32" s="16"/>
      <c r="J32" s="16"/>
      <c r="K32" s="16"/>
      <c r="L32" s="16"/>
      <c r="M32" s="16"/>
      <c r="N32" s="16"/>
      <c r="O32" s="16"/>
      <c r="P32" s="30" t="n">
        <f aca="false">E32*F32</f>
        <v>5</v>
      </c>
    </row>
    <row r="33" customFormat="false" ht="15" hidden="false" customHeight="false" outlineLevel="0" collapsed="false">
      <c r="A33" s="5" t="s">
        <v>170</v>
      </c>
      <c r="B33" s="5" t="s">
        <v>171</v>
      </c>
      <c r="C33" s="5"/>
      <c r="D33" s="5"/>
      <c r="E33" s="39" t="n">
        <v>1</v>
      </c>
      <c r="F33" s="29" t="n">
        <f aca="false">Supuestos!$B$32</f>
        <v>5</v>
      </c>
      <c r="G33" s="5" t="s">
        <v>161</v>
      </c>
      <c r="H33" s="16"/>
      <c r="I33" s="16"/>
      <c r="J33" s="16"/>
      <c r="K33" s="16"/>
      <c r="L33" s="16"/>
      <c r="M33" s="16"/>
      <c r="N33" s="16"/>
      <c r="O33" s="16"/>
      <c r="P33" s="30" t="n">
        <f aca="false">E33*F33</f>
        <v>5</v>
      </c>
    </row>
    <row r="34" customFormat="false" ht="15" hidden="false" customHeight="false" outlineLevel="0" collapsed="false">
      <c r="A34" s="5" t="s">
        <v>172</v>
      </c>
      <c r="B34" s="5" t="s">
        <v>173</v>
      </c>
      <c r="C34" s="5"/>
      <c r="D34" s="5"/>
      <c r="E34" s="39" t="n">
        <v>0</v>
      </c>
      <c r="F34" s="29" t="n">
        <v>0</v>
      </c>
      <c r="G34" s="5" t="s">
        <v>174</v>
      </c>
      <c r="H34" s="16"/>
      <c r="I34" s="16"/>
      <c r="J34" s="16"/>
      <c r="K34" s="16"/>
      <c r="L34" s="16"/>
      <c r="M34" s="16"/>
      <c r="N34" s="16"/>
      <c r="O34" s="16"/>
      <c r="P34" s="30" t="n">
        <f aca="false">E34*F34</f>
        <v>0</v>
      </c>
    </row>
    <row r="35" customFormat="false" ht="15" hidden="false" customHeight="false" outlineLevel="0" collapsed="false">
      <c r="A35" s="33" t="s">
        <v>175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6" t="n">
        <f aca="false">SUM(P24:P34)</f>
        <v>370.4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1" t="s">
        <v>176</v>
      </c>
      <c r="N37" s="22"/>
      <c r="O37" s="22"/>
      <c r="P37" s="40" t="n">
        <f aca="false">P20+P35</f>
        <v>5424.66977585938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1" t="s">
        <v>177</v>
      </c>
      <c r="N38" s="22"/>
      <c r="O38" s="22"/>
      <c r="P38" s="41" t="n">
        <f aca="false">P37*Supuestos!$B$7</f>
        <v>100356.390853398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1" t="s">
        <v>178</v>
      </c>
      <c r="N39" s="22"/>
      <c r="O39" s="22"/>
      <c r="P39" s="40" t="n">
        <f aca="false">P37*12</f>
        <v>65096.0373103125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1" t="s">
        <v>179</v>
      </c>
      <c r="N40" s="22"/>
      <c r="O40" s="22"/>
      <c r="P40" s="41" t="n">
        <f aca="false">P39*Supuestos!$B$7</f>
        <v>1204276.69024078</v>
      </c>
    </row>
  </sheetData>
  <mergeCells count="11"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dataValidations count="2">
    <dataValidation allowBlank="false" errorStyle="stop" operator="between" showDropDown="false" showErrorMessage="false" showInputMessage="false" sqref="J5:J19" type="list">
      <formula1>"Premium SSD,Standard SSD,Standard HDD"</formula1>
      <formula2>0</formula2>
    </dataValidation>
    <dataValidation allowBlank="false" errorStyle="stop" operator="between" showDropDown="false" showErrorMessage="false" showInputMessage="false" sqref="M5:M19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2026-10-02T16:32:53Z</dcterms:created>
  <dc:creator>openpyxl</dc:creator>
  <dc:description/>
  <dc:language>en-US</dc:language>
  <cp:lastModifiedBy/>
  <dcterms:modified xsi:type="dcterms:W3CDTF">2026-10-02T16:32:53Z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