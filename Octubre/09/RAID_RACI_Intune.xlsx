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Riesgos" sheetId="3" state="visible" r:id="rId5"/>
    <sheet name="Issues" sheetId="4" state="visible" r:id="rId6"/>
    <sheet name="Acciones" sheetId="5" state="visible" r:id="rId7"/>
    <sheet name="Decisiones" sheetId="6" state="visible" r:id="rId8"/>
    <sheet name="RACI" sheetId="7" state="visible" r:id="rId9"/>
  </sheets>
  <definedNames>
    <definedName function="false" hidden="true" localSheetId="4" name="_xlnm._FilterDatabase" vbProcedure="false">Acciones!$A$4:$I$64</definedName>
    <definedName function="false" hidden="true" localSheetId="3" name="_xlnm._FilterDatabase" vbProcedure="false">Issues!$A$4:$L$64</definedName>
    <definedName function="false" hidden="true" localSheetId="2" name="_xlnm._FilterDatabase" vbProcedure="false">Riesgos!$A$4:$N$64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<sst xmlns="http://schemas.openxmlformats.org/spreadsheetml/2006/main" count="351" uniqueCount="196">
  <si>
    <t xml:space="preserve">Registro RAID y Matriz RACI – Implementación Microsoft Intune</t>
  </si>
  <si>
    <t xml:space="preserve">Plantilla PMO · elaborada 07/10/2026</t>
  </si>
  <si>
    <t xml:space="preserve">Pestaña</t>
  </si>
  <si>
    <t xml:space="preserve">Para qué sirve</t>
  </si>
  <si>
    <t xml:space="preserve">Resumen</t>
  </si>
  <si>
    <t xml:space="preserve">Conteos automáticos de riesgos, issues y acciones (no se edita).</t>
  </si>
  <si>
    <t xml:space="preserve">Riesgos</t>
  </si>
  <si>
    <t xml:space="preserve">Lo que PODRÍA pasar. Calificar probabilidad e impacto (1–3); la severidad se calcula sola.</t>
  </si>
  <si>
    <t xml:space="preserve">Issues</t>
  </si>
  <si>
    <t xml:space="preserve">Problemas que YA están pasando y requieren acción.</t>
  </si>
  <si>
    <t xml:space="preserve">Acciones</t>
  </si>
  <si>
    <t xml:space="preserve">Pendientes de minutas y reuniones: qué, quién, cuándo. Se marcan en rojo si están vencidas.</t>
  </si>
  <si>
    <t xml:space="preserve">Decisiones</t>
  </si>
  <si>
    <t xml:space="preserve">Toda decisión del proyecto, quién la aprobó y cuándo.</t>
  </si>
  <si>
    <t xml:space="preserve">RACI</t>
  </si>
  <si>
    <t xml:space="preserve">Quién es Responsable, Aprobador, Consultado e Informado por actividad.</t>
  </si>
  <si>
    <t xml:space="preserve">Cómo llenar</t>
  </si>
  <si>
    <t xml:space="preserve">Celdas amarillas</t>
  </si>
  <si>
    <t xml:space="preserve">Son las que se llenan; las columnas con lista desplegable solo aceptan esos valores.</t>
  </si>
  <si>
    <t xml:space="preserve">Filas de ejemplo</t>
  </si>
  <si>
    <t xml:space="preserve">Los riesgos, acciones y RACI vienen prellenados con casos típicos de Intune: valídalos con la PM y el consultor, ajústalos o bórralos.</t>
  </si>
  <si>
    <t xml:space="preserve">Severidad</t>
  </si>
  <si>
    <t xml:space="preserve">Probabilidad × Impacto: 6–9 = Alta, 3–4 = Media, 1–2 = Baja.</t>
  </si>
  <si>
    <t xml:space="preserve">Regla RACI</t>
  </si>
  <si>
    <t xml:space="preserve">Cada actividad debe tener exactamente una A (aprobador) y al menos una R.</t>
  </si>
  <si>
    <t xml:space="preserve">Resumen del RAID</t>
  </si>
  <si>
    <t xml:space="preserve">Se actualiza solo con lo capturado en las otras pestañas</t>
  </si>
  <si>
    <t xml:space="preserve">Indicador</t>
  </si>
  <si>
    <t xml:space="preserve">Valor</t>
  </si>
  <si>
    <t xml:space="preserve">Riesgos abiertos (no cerrados)</t>
  </si>
  <si>
    <t xml:space="preserve">   de severidad Alta</t>
  </si>
  <si>
    <t xml:space="preserve">   de severidad Media</t>
  </si>
  <si>
    <t xml:space="preserve">   de severidad Baja</t>
  </si>
  <si>
    <t xml:space="preserve">Issues abiertos</t>
  </si>
  <si>
    <t xml:space="preserve">Acciones abiertas</t>
  </si>
  <si>
    <t xml:space="preserve">   vencidas</t>
  </si>
  <si>
    <t xml:space="preserve">Decisiones registradas</t>
  </si>
  <si>
    <t xml:space="preserve">Actividades RACI por revisar</t>
  </si>
  <si>
    <t xml:space="preserve">Registro de riesgos</t>
  </si>
  <si>
    <t xml:space="preserve">Probabilidad e impacto: 1 = Bajo, 2 = Medio, 3 = Alto</t>
  </si>
  <si>
    <t xml:space="preserve">ID</t>
  </si>
  <si>
    <t xml:space="preserve">Fecha registro</t>
  </si>
  <si>
    <t xml:space="preserve">Categoría</t>
  </si>
  <si>
    <t xml:space="preserve">Descripción del riesgo</t>
  </si>
  <si>
    <t xml:space="preserve">Causa / disparador</t>
  </si>
  <si>
    <t xml:space="preserve">Probabilidad (1-3)</t>
  </si>
  <si>
    <t xml:space="preserve">Impacto (1-3)</t>
  </si>
  <si>
    <t xml:space="preserve">Nivel</t>
  </si>
  <si>
    <t xml:space="preserve">Plan de mitigación</t>
  </si>
  <si>
    <t xml:space="preserve">Plan de contingencia</t>
  </si>
  <si>
    <t xml:space="preserve">Responsable</t>
  </si>
  <si>
    <t xml:space="preserve">Fecha revisión</t>
  </si>
  <si>
    <t xml:space="preserve">Estatus</t>
  </si>
  <si>
    <t xml:space="preserve">R-01</t>
  </si>
  <si>
    <t xml:space="preserve">Licenciamiento</t>
  </si>
  <si>
    <t xml:space="preserve">Licencias insuficientes o sin Intune incluido (M365 E3/E5 o EMS).</t>
  </si>
  <si>
    <t xml:space="preserve">Inventario de licencias no validado.</t>
  </si>
  <si>
    <t xml:space="preserve">Validar licencias asignadas vs. usuarios en alcance antes del diseño.</t>
  </si>
  <si>
    <t xml:space="preserve">Comprar licencias faltantes o reducir alcance de la ola.</t>
  </si>
  <si>
    <t xml:space="preserve">PMO / TI</t>
  </si>
  <si>
    <t xml:space="preserve">Abierto</t>
  </si>
  <si>
    <t xml:space="preserve">R-02</t>
  </si>
  <si>
    <t xml:space="preserve">Técnico</t>
  </si>
  <si>
    <t xml:space="preserve">Usuarios bloqueados por políticas de acceso condicional mal configuradas.</t>
  </si>
  <si>
    <t xml:space="preserve">Políticas aplicadas a todos sin piloto.</t>
  </si>
  <si>
    <t xml:space="preserve">Aplicar primero en modo solo informe y a grupo piloto; cuentas de emergencia excluidas.</t>
  </si>
  <si>
    <t xml:space="preserve">Desactivar la política y revertir al estado anterior.</t>
  </si>
  <si>
    <t xml:space="preserve">Consultor</t>
  </si>
  <si>
    <t xml:space="preserve">R-03</t>
  </si>
  <si>
    <t xml:space="preserve">Legal / RH</t>
  </si>
  <si>
    <t xml:space="preserve">Rechazo de BYOD por temas de privacidad.</t>
  </si>
  <si>
    <t xml:space="preserve">No existe política de uso de dispositivos personales.</t>
  </si>
  <si>
    <t xml:space="preserve">Usar protección de apps (MAM) sin enrolar; aprobar política BYOD con RH y Legal.</t>
  </si>
  <si>
    <t xml:space="preserve">Excluir BYOD de esta fase.</t>
  </si>
  <si>
    <t xml:space="preserve">PM</t>
  </si>
  <si>
    <t xml:space="preserve">R-04</t>
  </si>
  <si>
    <t xml:space="preserve">Cambio organizacional</t>
  </si>
  <si>
    <t xml:space="preserve">Resistencia de usuarios al enrolamiento.</t>
  </si>
  <si>
    <t xml:space="preserve">Falta de comunicación previa.</t>
  </si>
  <si>
    <t xml:space="preserve">Plan de comunicación y guías rápidas antes de cada ola.</t>
  </si>
  <si>
    <t xml:space="preserve">Sesiones de apoyo en sitio durante la ola.</t>
  </si>
  <si>
    <t xml:space="preserve">PM / PMO</t>
  </si>
  <si>
    <t xml:space="preserve">R-05</t>
  </si>
  <si>
    <t xml:space="preserve">Soporte</t>
  </si>
  <si>
    <t xml:space="preserve">Mesa de Ayuda no preparada para incidentes de Intune.</t>
  </si>
  <si>
    <t xml:space="preserve">Sin capacitación ni runbooks.</t>
  </si>
  <si>
    <t xml:space="preserve">Capacitar a Mesa de Ayuda y entregar runbooks antes del piloto.</t>
  </si>
  <si>
    <t xml:space="preserve">Soporte del consultor durante hypercare.</t>
  </si>
  <si>
    <t xml:space="preserve">R-06</t>
  </si>
  <si>
    <t xml:space="preserve">Equipos con sistema operativo no soportado o desactualizado.</t>
  </si>
  <si>
    <t xml:space="preserve">Parque heterogéneo.</t>
  </si>
  <si>
    <t xml:space="preserve">Inventario de versiones en el levantamiento; plan de actualización.</t>
  </si>
  <si>
    <t xml:space="preserve">Excluir equipos no soportados y documentar.</t>
  </si>
  <si>
    <t xml:space="preserve">TI</t>
  </si>
  <si>
    <t xml:space="preserve">R-07</t>
  </si>
  <si>
    <t xml:space="preserve">Recursos</t>
  </si>
  <si>
    <t xml:space="preserve">Baja disponibilidad del equipo interno para pruebas y accesos.</t>
  </si>
  <si>
    <t xml:space="preserve">Carga operativa diaria.</t>
  </si>
  <si>
    <t xml:space="preserve">Acordar disponibilidad en RACI y calendario desde el kickoff.</t>
  </si>
  <si>
    <t xml:space="preserve">Escalar al patrocinador.</t>
  </si>
  <si>
    <t xml:space="preserve">PMO</t>
  </si>
  <si>
    <t xml:space="preserve">Registro de issues (problemas activos)</t>
  </si>
  <si>
    <t xml:space="preserve">Un issue es un problema que ya ocurrió; si viene de un riesgo, anota su ID</t>
  </si>
  <si>
    <t xml:space="preserve">Fecha detección</t>
  </si>
  <si>
    <t xml:space="preserve">Descripción del issue</t>
  </si>
  <si>
    <t xml:space="preserve">Impacto en el proyecto</t>
  </si>
  <si>
    <t xml:space="preserve">Prioridad</t>
  </si>
  <si>
    <t xml:space="preserve">Riesgo relacionado</t>
  </si>
  <si>
    <t xml:space="preserve">Acción de solución</t>
  </si>
  <si>
    <t xml:space="preserve">Fecha compromiso</t>
  </si>
  <si>
    <t xml:space="preserve">Fecha cierre</t>
  </si>
  <si>
    <t xml:space="preserve">Comentarios</t>
  </si>
  <si>
    <t xml:space="preserve">I-01</t>
  </si>
  <si>
    <t xml:space="preserve">[Ej. El consultor no tiene acceso de administrador al portal de Intune]</t>
  </si>
  <si>
    <t xml:space="preserve">Retrasa el levantamiento 3 días</t>
  </si>
  <si>
    <t xml:space="preserve">Alta</t>
  </si>
  <si>
    <t xml:space="preserve">Solicitar rol de administrador de Intune a Seguridad</t>
  </si>
  <si>
    <t xml:space="preserve">Ejemplo: reemplazar</t>
  </si>
  <si>
    <t xml:space="preserve">Registro de acciones y acuerdos</t>
  </si>
  <si>
    <t xml:space="preserve">Las filas en rojo están vencidas y no cerradas</t>
  </si>
  <si>
    <t xml:space="preserve">Fecha</t>
  </si>
  <si>
    <t xml:space="preserve">Origen (reunión)</t>
  </si>
  <si>
    <t xml:space="preserve">Acción</t>
  </si>
  <si>
    <t xml:space="preserve">Días de atraso</t>
  </si>
  <si>
    <t xml:space="preserve">Fecha compromiso: llénala en el kickoff</t>
  </si>
  <si>
    <t xml:space="preserve">A-01</t>
  </si>
  <si>
    <t xml:space="preserve">Kickoff</t>
  </si>
  <si>
    <t xml:space="preserve">Compartir plan de trabajo y cronograma con fechas por fase</t>
  </si>
  <si>
    <t xml:space="preserve">Abierta</t>
  </si>
  <si>
    <t xml:space="preserve">A-02</t>
  </si>
  <si>
    <t xml:space="preserve">Enviar inventario de dispositivos (tipo, SO, cantidad) al consultor</t>
  </si>
  <si>
    <t xml:space="preserve">A-03</t>
  </si>
  <si>
    <t xml:space="preserve">Validar licencias M365 / Intune disponibles vs. usuarios en alcance</t>
  </si>
  <si>
    <t xml:space="preserve">A-04</t>
  </si>
  <si>
    <t xml:space="preserve">Definir grupo piloto (nombres y equipos)</t>
  </si>
  <si>
    <t xml:space="preserve">A-05</t>
  </si>
  <si>
    <t xml:space="preserve">Dar accesos de administrador al consultor</t>
  </si>
  <si>
    <t xml:space="preserve">Seguridad</t>
  </si>
  <si>
    <t xml:space="preserve">A-06</t>
  </si>
  <si>
    <t xml:space="preserve">Crear repositorio de documentos del proyecto (Teams/SharePoint)</t>
  </si>
  <si>
    <t xml:space="preserve">A-07</t>
  </si>
  <si>
    <t xml:space="preserve">Agendar reunión semanal de seguimiento</t>
  </si>
  <si>
    <t xml:space="preserve">Registro de decisiones</t>
  </si>
  <si>
    <t xml:space="preserve">Incluye cambios de alcance aprobados (ID CC-xx)</t>
  </si>
  <si>
    <t xml:space="preserve">Decisión</t>
  </si>
  <si>
    <t xml:space="preserve">Contexto / alternativas consideradas</t>
  </si>
  <si>
    <t xml:space="preserve">Impacto</t>
  </si>
  <si>
    <t xml:space="preserve">Aprobó</t>
  </si>
  <si>
    <t xml:space="preserve">Origen (reunión / CC)</t>
  </si>
  <si>
    <t xml:space="preserve">D-01</t>
  </si>
  <si>
    <t xml:space="preserve">[Ej. El piloto será con 20 usuarios del área de TI]</t>
  </si>
  <si>
    <t xml:space="preserve">[Se consideró piloto con Finanzas; se eligió TI por menor riesgo]</t>
  </si>
  <si>
    <t xml:space="preserve">[Inicio de piloto en semana 4]</t>
  </si>
  <si>
    <t xml:space="preserve">[Patrocinador]</t>
  </si>
  <si>
    <t xml:space="preserve">Matriz RACI – propuesta inicial para validar</t>
  </si>
  <si>
    <t xml:space="preserve">R = Responsable (hace) · A = Aprobador (uno por actividad) · C = Consultado · I = Informado</t>
  </si>
  <si>
    <t xml:space="preserve">Fase</t>
  </si>
  <si>
    <t xml:space="preserve">Actividad / entregable</t>
  </si>
  <si>
    <t xml:space="preserve">Patrocinador (tu jefe)</t>
  </si>
  <si>
    <t xml:space="preserve">Project Manager</t>
  </si>
  <si>
    <t xml:space="preserve">Consultor / Instalador</t>
  </si>
  <si>
    <t xml:space="preserve">TI / Infraestructura</t>
  </si>
  <si>
    <t xml:space="preserve">Seguridad de la información</t>
  </si>
  <si>
    <t xml:space="preserve">Mesa de Ayuda</t>
  </si>
  <si>
    <t xml:space="preserve">RH / Legal</t>
  </si>
  <si>
    <t xml:space="preserve">Usuarios piloto</t>
  </si>
  <si>
    <t xml:space="preserve"># A</t>
  </si>
  <si>
    <t xml:space="preserve">Validación</t>
  </si>
  <si>
    <t xml:space="preserve">Inicio</t>
  </si>
  <si>
    <t xml:space="preserve">Acta de constitución y alcance</t>
  </si>
  <si>
    <t xml:space="preserve">A</t>
  </si>
  <si>
    <t xml:space="preserve">R</t>
  </si>
  <si>
    <t xml:space="preserve">C</t>
  </si>
  <si>
    <t xml:space="preserve">I</t>
  </si>
  <si>
    <t xml:space="preserve">Plan de trabajo y cronograma</t>
  </si>
  <si>
    <t xml:space="preserve">Plan de comunicación</t>
  </si>
  <si>
    <t xml:space="preserve">Gestión</t>
  </si>
  <si>
    <t xml:space="preserve">Minutas, RAID y reporte semanal</t>
  </si>
  <si>
    <t xml:space="preserve">Control de cambios</t>
  </si>
  <si>
    <t xml:space="preserve">Levantamiento</t>
  </si>
  <si>
    <t xml:space="preserve">Inventario de dispositivos y licencias</t>
  </si>
  <si>
    <t xml:space="preserve">Diseño</t>
  </si>
  <si>
    <t xml:space="preserve">Documento de diseño de Intune</t>
  </si>
  <si>
    <t xml:space="preserve">Políticas de cumplimiento y acceso condicional</t>
  </si>
  <si>
    <t xml:space="preserve">Política de uso BYOD</t>
  </si>
  <si>
    <t xml:space="preserve">Configuración</t>
  </si>
  <si>
    <t xml:space="preserve">Configuración del tenant de Intune</t>
  </si>
  <si>
    <t xml:space="preserve">Piloto</t>
  </si>
  <si>
    <t xml:space="preserve">Plan de pruebas y ejecución del piloto</t>
  </si>
  <si>
    <t xml:space="preserve">Aprobación de resultados del piloto (go / no-go)</t>
  </si>
  <si>
    <t xml:space="preserve">Despliegue</t>
  </si>
  <si>
    <t xml:space="preserve">Despliegue por olas</t>
  </si>
  <si>
    <t xml:space="preserve">Capacitación y runbooks para Mesa de Ayuda</t>
  </si>
  <si>
    <t xml:space="preserve">Cierre</t>
  </si>
  <si>
    <t xml:space="preserve">Transferencia de conocimiento a TI</t>
  </si>
  <si>
    <t xml:space="preserve">Acta de cierre y lecciones aprendidas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</si>
</sst>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4B183"/>
        </patternFill>
      </fill>
    </dxf>
    <dxf>
      <fill>
        <patternFill>
          <bgColor rgb="FF9DC3E6"/>
        </patternFill>
      </fill>
    </dxf>
    <dxf>
      <fill>
        <patternFill>
          <bgColor rgb="FFC9C9C9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/>
      <c r="B11" s="6"/>
    </row>
    <row r="12" customFormat="false" ht="15" hidden="false" customHeight="false" outlineLevel="0" collapsed="false">
      <c r="A12" s="7" t="s">
        <v>16</v>
      </c>
      <c r="B12" s="6"/>
    </row>
    <row r="13" customFormat="false" ht="15" hidden="false" customHeight="false" outlineLevel="0" collapsed="false">
      <c r="A13" s="5" t="s">
        <v>17</v>
      </c>
      <c r="B13" s="6" t="s">
        <v>18</v>
      </c>
    </row>
    <row r="14" customFormat="false" ht="23.85" hidden="false" customHeight="false" outlineLevel="0" collapsed="false">
      <c r="A14" s="5" t="s">
        <v>19</v>
      </c>
      <c r="B14" s="6" t="s">
        <v>20</v>
      </c>
    </row>
    <row r="15" customFormat="false" ht="15" hidden="false" customHeight="false" outlineLevel="0" collapsed="false">
      <c r="A15" s="5" t="s">
        <v>21</v>
      </c>
      <c r="B15" s="6" t="s">
        <v>22</v>
      </c>
    </row>
    <row r="16" customFormat="false" ht="15" hidden="false" customHeight="false" outlineLevel="0" collapsed="false">
      <c r="A16" s="5" t="s">
        <v>23</v>
      </c>
      <c r="B16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30" hidden="false" customHeight="true" outlineLevel="0" collapsed="false">
      <c r="A4" s="8" t="s">
        <v>27</v>
      </c>
      <c r="B4" s="8" t="s">
        <v>28</v>
      </c>
    </row>
    <row r="5" customFormat="false" ht="15" hidden="false" customHeight="false" outlineLevel="0" collapsed="false">
      <c r="A5" s="9" t="s">
        <v>29</v>
      </c>
      <c r="B5" s="10" t="n">
        <f aca="false">COUNTIFS(Riesgos!A5:A64,"&lt;&gt;",Riesgos!N5:N64,"&lt;&gt;Cerrado")</f>
        <v>7</v>
      </c>
    </row>
    <row r="6" customFormat="false" ht="15" hidden="false" customHeight="false" outlineLevel="0" collapsed="false">
      <c r="A6" s="9" t="s">
        <v>30</v>
      </c>
      <c r="B6" s="10" t="n">
        <f aca="false">COUNTIFS(Riesgos!I5:I64,"Alta",Riesgos!N5:N64,"&lt;&gt;Cerrado")</f>
        <v>3</v>
      </c>
    </row>
    <row r="7" customFormat="false" ht="15" hidden="false" customHeight="false" outlineLevel="0" collapsed="false">
      <c r="A7" s="9" t="s">
        <v>31</v>
      </c>
      <c r="B7" s="10" t="n">
        <f aca="false">COUNTIFS(Riesgos!I5:I64,"Media",Riesgos!N5:N64,"&lt;&gt;Cerrado")</f>
        <v>4</v>
      </c>
    </row>
    <row r="8" customFormat="false" ht="15" hidden="false" customHeight="false" outlineLevel="0" collapsed="false">
      <c r="A8" s="9" t="s">
        <v>32</v>
      </c>
      <c r="B8" s="10" t="n">
        <f aca="false">COUNTIFS(Riesgos!I5:I64,"Baja",Riesgos!N5:N64,"&lt;&gt;Cerrado")</f>
        <v>0</v>
      </c>
    </row>
    <row r="9" customFormat="false" ht="15" hidden="false" customHeight="false" outlineLevel="0" collapsed="false">
      <c r="A9" s="9" t="s">
        <v>33</v>
      </c>
      <c r="B9" s="10" t="n">
        <f aca="false">COUNTIFS(Issues!A5:A64,"&lt;&gt;",Issues!J5:J64,"&lt;&gt;Cerrado")</f>
        <v>1</v>
      </c>
    </row>
    <row r="10" customFormat="false" ht="15" hidden="false" customHeight="false" outlineLevel="0" collapsed="false">
      <c r="A10" s="9" t="s">
        <v>34</v>
      </c>
      <c r="B10" s="10" t="n">
        <f aca="false">COUNTIFS(Acciones!A5:A64,"&lt;&gt;",Acciones!G5:G64,"&lt;&gt;Cerrada",Acciones!G5:G64,"&lt;&gt;Cancelada")</f>
        <v>7</v>
      </c>
    </row>
    <row r="11" customFormat="false" ht="15" hidden="false" customHeight="false" outlineLevel="0" collapsed="false">
      <c r="A11" s="9" t="s">
        <v>35</v>
      </c>
      <c r="B11" s="10" t="n">
        <f aca="true">COUNTIFS(Acciones!F5:F64,"&lt;"&amp;TODAY(),Acciones!G5:G64,"&lt;&gt;Cerrada",Acciones!G5:G64,"&lt;&gt;Cancelada")</f>
        <v>0</v>
      </c>
    </row>
    <row r="12" customFormat="false" ht="15" hidden="false" customHeight="false" outlineLevel="0" collapsed="false">
      <c r="A12" s="9" t="s">
        <v>36</v>
      </c>
      <c r="B12" s="10" t="n">
        <f aca="false">COUNTA(Decisiones!A5:A64)</f>
        <v>1</v>
      </c>
    </row>
    <row r="13" customFormat="false" ht="15" hidden="false" customHeight="false" outlineLevel="0" collapsed="false">
      <c r="A13" s="9" t="s">
        <v>37</v>
      </c>
      <c r="B13" s="10" t="n">
        <f aca="false">COUNTIF(RACI!M5:M30,"Revisar")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42"/>
    <col collapsed="false" customWidth="true" hidden="false" outlineLevel="0" max="11" min="11" style="0" width="32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21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</row>
    <row r="5" customFormat="false" ht="23.85" hidden="false" customHeight="false" outlineLevel="0" collapsed="false">
      <c r="A5" s="11" t="s">
        <v>53</v>
      </c>
      <c r="B5" s="12" t="n">
        <v>46303</v>
      </c>
      <c r="C5" s="11" t="s">
        <v>54</v>
      </c>
      <c r="D5" s="11" t="s">
        <v>55</v>
      </c>
      <c r="E5" s="11" t="s">
        <v>56</v>
      </c>
      <c r="F5" s="13" t="n">
        <v>2</v>
      </c>
      <c r="G5" s="13" t="n">
        <v>3</v>
      </c>
      <c r="H5" s="14" t="n">
        <f aca="false">IF(OR(F5="",G5=""),"",F5*G5)</f>
        <v>6</v>
      </c>
      <c r="I5" s="15" t="str">
        <f aca="false">IF(H5="","",IF(H5&gt;=6,"Alta",IF(H5&gt;=3,"Media","Baja")))</f>
        <v>Alta</v>
      </c>
      <c r="J5" s="11" t="s">
        <v>57</v>
      </c>
      <c r="K5" s="11" t="s">
        <v>58</v>
      </c>
      <c r="L5" s="11" t="s">
        <v>59</v>
      </c>
      <c r="M5" s="12"/>
      <c r="N5" s="11" t="s">
        <v>60</v>
      </c>
    </row>
    <row r="6" customFormat="false" ht="23.85" hidden="false" customHeight="false" outlineLevel="0" collapsed="false">
      <c r="A6" s="11" t="s">
        <v>61</v>
      </c>
      <c r="B6" s="12" t="n">
        <v>46303</v>
      </c>
      <c r="C6" s="11" t="s">
        <v>62</v>
      </c>
      <c r="D6" s="11" t="s">
        <v>63</v>
      </c>
      <c r="E6" s="11" t="s">
        <v>64</v>
      </c>
      <c r="F6" s="13" t="n">
        <v>2</v>
      </c>
      <c r="G6" s="13" t="n">
        <v>3</v>
      </c>
      <c r="H6" s="14" t="n">
        <f aca="false">IF(OR(F6="",G6=""),"",F6*G6)</f>
        <v>6</v>
      </c>
      <c r="I6" s="15" t="str">
        <f aca="false">IF(H6="","",IF(H6&gt;=6,"Alta",IF(H6&gt;=3,"Media","Baja")))</f>
        <v>Alta</v>
      </c>
      <c r="J6" s="11" t="s">
        <v>65</v>
      </c>
      <c r="K6" s="11" t="s">
        <v>66</v>
      </c>
      <c r="L6" s="11" t="s">
        <v>67</v>
      </c>
      <c r="M6" s="12"/>
      <c r="N6" s="11" t="s">
        <v>60</v>
      </c>
    </row>
    <row r="7" customFormat="false" ht="23.85" hidden="false" customHeight="false" outlineLevel="0" collapsed="false">
      <c r="A7" s="11" t="s">
        <v>68</v>
      </c>
      <c r="B7" s="12" t="n">
        <v>46303</v>
      </c>
      <c r="C7" s="11" t="s">
        <v>69</v>
      </c>
      <c r="D7" s="11" t="s">
        <v>70</v>
      </c>
      <c r="E7" s="11" t="s">
        <v>71</v>
      </c>
      <c r="F7" s="13" t="n">
        <v>2</v>
      </c>
      <c r="G7" s="13" t="n">
        <v>2</v>
      </c>
      <c r="H7" s="14" t="n">
        <f aca="false">IF(OR(F7="",G7=""),"",F7*G7)</f>
        <v>4</v>
      </c>
      <c r="I7" s="15" t="str">
        <f aca="false">IF(H7="","",IF(H7&gt;=6,"Alta",IF(H7&gt;=3,"Media","Baja")))</f>
        <v>Media</v>
      </c>
      <c r="J7" s="11" t="s">
        <v>72</v>
      </c>
      <c r="K7" s="11" t="s">
        <v>73</v>
      </c>
      <c r="L7" s="11" t="s">
        <v>74</v>
      </c>
      <c r="M7" s="12"/>
      <c r="N7" s="11" t="s">
        <v>60</v>
      </c>
    </row>
    <row r="8" customFormat="false" ht="23.85" hidden="false" customHeight="false" outlineLevel="0" collapsed="false">
      <c r="A8" s="11" t="s">
        <v>75</v>
      </c>
      <c r="B8" s="12" t="n">
        <v>46303</v>
      </c>
      <c r="C8" s="11" t="s">
        <v>76</v>
      </c>
      <c r="D8" s="11" t="s">
        <v>77</v>
      </c>
      <c r="E8" s="11" t="s">
        <v>78</v>
      </c>
      <c r="F8" s="13" t="n">
        <v>3</v>
      </c>
      <c r="G8" s="13" t="n">
        <v>2</v>
      </c>
      <c r="H8" s="14" t="n">
        <f aca="false">IF(OR(F8="",G8=""),"",F8*G8)</f>
        <v>6</v>
      </c>
      <c r="I8" s="15" t="str">
        <f aca="false">IF(H8="","",IF(H8&gt;=6,"Alta",IF(H8&gt;=3,"Media","Baja")))</f>
        <v>Alta</v>
      </c>
      <c r="J8" s="11" t="s">
        <v>79</v>
      </c>
      <c r="K8" s="11" t="s">
        <v>80</v>
      </c>
      <c r="L8" s="11" t="s">
        <v>81</v>
      </c>
      <c r="M8" s="12"/>
      <c r="N8" s="11" t="s">
        <v>60</v>
      </c>
    </row>
    <row r="9" customFormat="false" ht="23.85" hidden="false" customHeight="false" outlineLevel="0" collapsed="false">
      <c r="A9" s="11" t="s">
        <v>82</v>
      </c>
      <c r="B9" s="12" t="n">
        <v>46303</v>
      </c>
      <c r="C9" s="11" t="s">
        <v>83</v>
      </c>
      <c r="D9" s="11" t="s">
        <v>84</v>
      </c>
      <c r="E9" s="11" t="s">
        <v>85</v>
      </c>
      <c r="F9" s="13" t="n">
        <v>2</v>
      </c>
      <c r="G9" s="13" t="n">
        <v>2</v>
      </c>
      <c r="H9" s="14" t="n">
        <f aca="false">IF(OR(F9="",G9=""),"",F9*G9)</f>
        <v>4</v>
      </c>
      <c r="I9" s="15" t="str">
        <f aca="false">IF(H9="","",IF(H9&gt;=6,"Alta",IF(H9&gt;=3,"Media","Baja")))</f>
        <v>Media</v>
      </c>
      <c r="J9" s="11" t="s">
        <v>86</v>
      </c>
      <c r="K9" s="11" t="s">
        <v>87</v>
      </c>
      <c r="L9" s="11" t="s">
        <v>67</v>
      </c>
      <c r="M9" s="12"/>
      <c r="N9" s="11" t="s">
        <v>60</v>
      </c>
    </row>
    <row r="10" customFormat="false" ht="23.85" hidden="false" customHeight="false" outlineLevel="0" collapsed="false">
      <c r="A10" s="11" t="s">
        <v>88</v>
      </c>
      <c r="B10" s="12" t="n">
        <v>46303</v>
      </c>
      <c r="C10" s="11" t="s">
        <v>62</v>
      </c>
      <c r="D10" s="11" t="s">
        <v>89</v>
      </c>
      <c r="E10" s="11" t="s">
        <v>90</v>
      </c>
      <c r="F10" s="13" t="n">
        <v>2</v>
      </c>
      <c r="G10" s="13" t="n">
        <v>2</v>
      </c>
      <c r="H10" s="14" t="n">
        <f aca="false">IF(OR(F10="",G10=""),"",F10*G10)</f>
        <v>4</v>
      </c>
      <c r="I10" s="15" t="str">
        <f aca="false">IF(H10="","",IF(H10&gt;=6,"Alta",IF(H10&gt;=3,"Media","Baja")))</f>
        <v>Media</v>
      </c>
      <c r="J10" s="11" t="s">
        <v>91</v>
      </c>
      <c r="K10" s="11" t="s">
        <v>92</v>
      </c>
      <c r="L10" s="11" t="s">
        <v>93</v>
      </c>
      <c r="M10" s="12"/>
      <c r="N10" s="11" t="s">
        <v>60</v>
      </c>
    </row>
    <row r="11" customFormat="false" ht="23.85" hidden="false" customHeight="false" outlineLevel="0" collapsed="false">
      <c r="A11" s="11" t="s">
        <v>94</v>
      </c>
      <c r="B11" s="12" t="n">
        <v>46303</v>
      </c>
      <c r="C11" s="11" t="s">
        <v>95</v>
      </c>
      <c r="D11" s="11" t="s">
        <v>96</v>
      </c>
      <c r="E11" s="11" t="s">
        <v>97</v>
      </c>
      <c r="F11" s="13" t="n">
        <v>2</v>
      </c>
      <c r="G11" s="13" t="n">
        <v>2</v>
      </c>
      <c r="H11" s="14" t="n">
        <f aca="false">IF(OR(F11="",G11=""),"",F11*G11)</f>
        <v>4</v>
      </c>
      <c r="I11" s="15" t="str">
        <f aca="false">IF(H11="","",IF(H11&gt;=6,"Alta",IF(H11&gt;=3,"Media","Baja")))</f>
        <v>Media</v>
      </c>
      <c r="J11" s="11" t="s">
        <v>98</v>
      </c>
      <c r="K11" s="11" t="s">
        <v>99</v>
      </c>
      <c r="L11" s="11" t="s">
        <v>100</v>
      </c>
      <c r="M11" s="12"/>
      <c r="N11" s="11" t="s">
        <v>60</v>
      </c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13"/>
      <c r="G12" s="13"/>
      <c r="H12" s="14" t="str">
        <f aca="false">IF(OR(F12="",G12=""),"",F12*G12)</f>
        <v/>
      </c>
      <c r="I12" s="15" t="str">
        <f aca="false">IF(H12="","",IF(H12&gt;=6,"Alta",IF(H12&gt;=3,"Media","Baja")))</f>
        <v/>
      </c>
      <c r="J12" s="11"/>
      <c r="K12" s="11"/>
      <c r="L12" s="11"/>
      <c r="M12" s="12"/>
      <c r="N12" s="11"/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3"/>
      <c r="G13" s="13"/>
      <c r="H13" s="14" t="str">
        <f aca="false">IF(OR(F13="",G13=""),"",F13*G13)</f>
        <v/>
      </c>
      <c r="I13" s="15" t="str">
        <f aca="false">IF(H13="","",IF(H13&gt;=6,"Alta",IF(H13&gt;=3,"Media","Baja")))</f>
        <v/>
      </c>
      <c r="J13" s="11"/>
      <c r="K13" s="11"/>
      <c r="L13" s="11"/>
      <c r="M13" s="12"/>
      <c r="N13" s="11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3"/>
      <c r="G14" s="13"/>
      <c r="H14" s="14" t="str">
        <f aca="false">IF(OR(F14="",G14=""),"",F14*G14)</f>
        <v/>
      </c>
      <c r="I14" s="15" t="str">
        <f aca="false">IF(H14="","",IF(H14&gt;=6,"Alta",IF(H14&gt;=3,"Media","Baja")))</f>
        <v/>
      </c>
      <c r="J14" s="11"/>
      <c r="K14" s="11"/>
      <c r="L14" s="11"/>
      <c r="M14" s="12"/>
      <c r="N14" s="11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3"/>
      <c r="G15" s="13"/>
      <c r="H15" s="14" t="str">
        <f aca="false">IF(OR(F15="",G15=""),"",F15*G15)</f>
        <v/>
      </c>
      <c r="I15" s="15" t="str">
        <f aca="false">IF(H15="","",IF(H15&gt;=6,"Alta",IF(H15&gt;=3,"Media","Baja")))</f>
        <v/>
      </c>
      <c r="J15" s="11"/>
      <c r="K15" s="11"/>
      <c r="L15" s="11"/>
      <c r="M15" s="12"/>
      <c r="N15" s="11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3"/>
      <c r="G16" s="13"/>
      <c r="H16" s="14" t="str">
        <f aca="false">IF(OR(F16="",G16=""),"",F16*G16)</f>
        <v/>
      </c>
      <c r="I16" s="15" t="str">
        <f aca="false">IF(H16="","",IF(H16&gt;=6,"Alta",IF(H16&gt;=3,"Media","Baja")))</f>
        <v/>
      </c>
      <c r="J16" s="11"/>
      <c r="K16" s="11"/>
      <c r="L16" s="11"/>
      <c r="M16" s="12"/>
      <c r="N16" s="11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3"/>
      <c r="G17" s="13"/>
      <c r="H17" s="14" t="str">
        <f aca="false">IF(OR(F17="",G17=""),"",F17*G17)</f>
        <v/>
      </c>
      <c r="I17" s="15" t="str">
        <f aca="false">IF(H17="","",IF(H17&gt;=6,"Alta",IF(H17&gt;=3,"Media","Baja")))</f>
        <v/>
      </c>
      <c r="J17" s="11"/>
      <c r="K17" s="11"/>
      <c r="L17" s="11"/>
      <c r="M17" s="12"/>
      <c r="N17" s="11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3"/>
      <c r="G18" s="13"/>
      <c r="H18" s="14" t="str">
        <f aca="false">IF(OR(F18="",G18=""),"",F18*G18)</f>
        <v/>
      </c>
      <c r="I18" s="15" t="str">
        <f aca="false">IF(H18="","",IF(H18&gt;=6,"Alta",IF(H18&gt;=3,"Media","Baja")))</f>
        <v/>
      </c>
      <c r="J18" s="11"/>
      <c r="K18" s="11"/>
      <c r="L18" s="11"/>
      <c r="M18" s="12"/>
      <c r="N18" s="11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3"/>
      <c r="G19" s="13"/>
      <c r="H19" s="14" t="str">
        <f aca="false">IF(OR(F19="",G19=""),"",F19*G19)</f>
        <v/>
      </c>
      <c r="I19" s="15" t="str">
        <f aca="false">IF(H19="","",IF(H19&gt;=6,"Alta",IF(H19&gt;=3,"Media","Baja")))</f>
        <v/>
      </c>
      <c r="J19" s="11"/>
      <c r="K19" s="11"/>
      <c r="L19" s="11"/>
      <c r="M19" s="12"/>
      <c r="N19" s="11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3"/>
      <c r="G20" s="13"/>
      <c r="H20" s="14" t="str">
        <f aca="false">IF(OR(F20="",G20=""),"",F20*G20)</f>
        <v/>
      </c>
      <c r="I20" s="15" t="str">
        <f aca="false">IF(H20="","",IF(H20&gt;=6,"Alta",IF(H20&gt;=3,"Media","Baja")))</f>
        <v/>
      </c>
      <c r="J20" s="11"/>
      <c r="K20" s="11"/>
      <c r="L20" s="11"/>
      <c r="M20" s="12"/>
      <c r="N20" s="11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3"/>
      <c r="G21" s="13"/>
      <c r="H21" s="14" t="str">
        <f aca="false">IF(OR(F21="",G21=""),"",F21*G21)</f>
        <v/>
      </c>
      <c r="I21" s="15" t="str">
        <f aca="false">IF(H21="","",IF(H21&gt;=6,"Alta",IF(H21&gt;=3,"Media","Baja")))</f>
        <v/>
      </c>
      <c r="J21" s="11"/>
      <c r="K21" s="11"/>
      <c r="L21" s="11"/>
      <c r="M21" s="12"/>
      <c r="N21" s="11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3"/>
      <c r="G22" s="13"/>
      <c r="H22" s="14" t="str">
        <f aca="false">IF(OR(F22="",G22=""),"",F22*G22)</f>
        <v/>
      </c>
      <c r="I22" s="15" t="str">
        <f aca="false">IF(H22="","",IF(H22&gt;=6,"Alta",IF(H22&gt;=3,"Media","Baja")))</f>
        <v/>
      </c>
      <c r="J22" s="11"/>
      <c r="K22" s="11"/>
      <c r="L22" s="11"/>
      <c r="M22" s="12"/>
      <c r="N22" s="11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3"/>
      <c r="G23" s="13"/>
      <c r="H23" s="14" t="str">
        <f aca="false">IF(OR(F23="",G23=""),"",F23*G23)</f>
        <v/>
      </c>
      <c r="I23" s="15" t="str">
        <f aca="false">IF(H23="","",IF(H23&gt;=6,"Alta",IF(H23&gt;=3,"Media","Baja")))</f>
        <v/>
      </c>
      <c r="J23" s="11"/>
      <c r="K23" s="11"/>
      <c r="L23" s="11"/>
      <c r="M23" s="12"/>
      <c r="N23" s="11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3"/>
      <c r="G24" s="13"/>
      <c r="H24" s="14" t="str">
        <f aca="false">IF(OR(F24="",G24=""),"",F24*G24)</f>
        <v/>
      </c>
      <c r="I24" s="15" t="str">
        <f aca="false">IF(H24="","",IF(H24&gt;=6,"Alta",IF(H24&gt;=3,"Media","Baja")))</f>
        <v/>
      </c>
      <c r="J24" s="11"/>
      <c r="K24" s="11"/>
      <c r="L24" s="11"/>
      <c r="M24" s="12"/>
      <c r="N24" s="11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3"/>
      <c r="G25" s="13"/>
      <c r="H25" s="14" t="str">
        <f aca="false">IF(OR(F25="",G25=""),"",F25*G25)</f>
        <v/>
      </c>
      <c r="I25" s="15" t="str">
        <f aca="false">IF(H25="","",IF(H25&gt;=6,"Alta",IF(H25&gt;=3,"Media","Baja")))</f>
        <v/>
      </c>
      <c r="J25" s="11"/>
      <c r="K25" s="11"/>
      <c r="L25" s="11"/>
      <c r="M25" s="12"/>
      <c r="N25" s="11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3"/>
      <c r="G26" s="13"/>
      <c r="H26" s="14" t="str">
        <f aca="false">IF(OR(F26="",G26=""),"",F26*G26)</f>
        <v/>
      </c>
      <c r="I26" s="15" t="str">
        <f aca="false">IF(H26="","",IF(H26&gt;=6,"Alta",IF(H26&gt;=3,"Media","Baja")))</f>
        <v/>
      </c>
      <c r="J26" s="11"/>
      <c r="K26" s="11"/>
      <c r="L26" s="11"/>
      <c r="M26" s="12"/>
      <c r="N26" s="11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3"/>
      <c r="G27" s="13"/>
      <c r="H27" s="14" t="str">
        <f aca="false">IF(OR(F27="",G27=""),"",F27*G27)</f>
        <v/>
      </c>
      <c r="I27" s="15" t="str">
        <f aca="false">IF(H27="","",IF(H27&gt;=6,"Alta",IF(H27&gt;=3,"Media","Baja")))</f>
        <v/>
      </c>
      <c r="J27" s="11"/>
      <c r="K27" s="11"/>
      <c r="L27" s="11"/>
      <c r="M27" s="12"/>
      <c r="N27" s="11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3"/>
      <c r="G28" s="13"/>
      <c r="H28" s="14" t="str">
        <f aca="false">IF(OR(F28="",G28=""),"",F28*G28)</f>
        <v/>
      </c>
      <c r="I28" s="15" t="str">
        <f aca="false">IF(H28="","",IF(H28&gt;=6,"Alta",IF(H28&gt;=3,"Media","Baja")))</f>
        <v/>
      </c>
      <c r="J28" s="11"/>
      <c r="K28" s="11"/>
      <c r="L28" s="11"/>
      <c r="M28" s="12"/>
      <c r="N28" s="11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3"/>
      <c r="G29" s="13"/>
      <c r="H29" s="14" t="str">
        <f aca="false">IF(OR(F29="",G29=""),"",F29*G29)</f>
        <v/>
      </c>
      <c r="I29" s="15" t="str">
        <f aca="false">IF(H29="","",IF(H29&gt;=6,"Alta",IF(H29&gt;=3,"Media","Baja")))</f>
        <v/>
      </c>
      <c r="J29" s="11"/>
      <c r="K29" s="11"/>
      <c r="L29" s="11"/>
      <c r="M29" s="12"/>
      <c r="N29" s="11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3"/>
      <c r="G30" s="13"/>
      <c r="H30" s="14" t="str">
        <f aca="false">IF(OR(F30="",G30=""),"",F30*G30)</f>
        <v/>
      </c>
      <c r="I30" s="15" t="str">
        <f aca="false">IF(H30="","",IF(H30&gt;=6,"Alta",IF(H30&gt;=3,"Media","Baja")))</f>
        <v/>
      </c>
      <c r="J30" s="11"/>
      <c r="K30" s="11"/>
      <c r="L30" s="11"/>
      <c r="M30" s="12"/>
      <c r="N30" s="11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3"/>
      <c r="G31" s="13"/>
      <c r="H31" s="14" t="str">
        <f aca="false">IF(OR(F31="",G31=""),"",F31*G31)</f>
        <v/>
      </c>
      <c r="I31" s="15" t="str">
        <f aca="false">IF(H31="","",IF(H31&gt;=6,"Alta",IF(H31&gt;=3,"Media","Baja")))</f>
        <v/>
      </c>
      <c r="J31" s="11"/>
      <c r="K31" s="11"/>
      <c r="L31" s="11"/>
      <c r="M31" s="12"/>
      <c r="N31" s="11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3"/>
      <c r="G32" s="13"/>
      <c r="H32" s="14" t="str">
        <f aca="false">IF(OR(F32="",G32=""),"",F32*G32)</f>
        <v/>
      </c>
      <c r="I32" s="15" t="str">
        <f aca="false">IF(H32="","",IF(H32&gt;=6,"Alta",IF(H32&gt;=3,"Media","Baja")))</f>
        <v/>
      </c>
      <c r="J32" s="11"/>
      <c r="K32" s="11"/>
      <c r="L32" s="11"/>
      <c r="M32" s="12"/>
      <c r="N32" s="11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3"/>
      <c r="G33" s="13"/>
      <c r="H33" s="14" t="str">
        <f aca="false">IF(OR(F33="",G33=""),"",F33*G33)</f>
        <v/>
      </c>
      <c r="I33" s="15" t="str">
        <f aca="false">IF(H33="","",IF(H33&gt;=6,"Alta",IF(H33&gt;=3,"Media","Baja")))</f>
        <v/>
      </c>
      <c r="J33" s="11"/>
      <c r="K33" s="11"/>
      <c r="L33" s="11"/>
      <c r="M33" s="12"/>
      <c r="N33" s="11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3"/>
      <c r="G34" s="13"/>
      <c r="H34" s="14" t="str">
        <f aca="false">IF(OR(F34="",G34=""),"",F34*G34)</f>
        <v/>
      </c>
      <c r="I34" s="15" t="str">
        <f aca="false">IF(H34="","",IF(H34&gt;=6,"Alta",IF(H34&gt;=3,"Media","Baja")))</f>
        <v/>
      </c>
      <c r="J34" s="11"/>
      <c r="K34" s="11"/>
      <c r="L34" s="11"/>
      <c r="M34" s="12"/>
      <c r="N34" s="11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3"/>
      <c r="G35" s="13"/>
      <c r="H35" s="14" t="str">
        <f aca="false">IF(OR(F35="",G35=""),"",F35*G35)</f>
        <v/>
      </c>
      <c r="I35" s="15" t="str">
        <f aca="false">IF(H35="","",IF(H35&gt;=6,"Alta",IF(H35&gt;=3,"Media","Baja")))</f>
        <v/>
      </c>
      <c r="J35" s="11"/>
      <c r="K35" s="11"/>
      <c r="L35" s="11"/>
      <c r="M35" s="12"/>
      <c r="N35" s="11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3"/>
      <c r="G36" s="13"/>
      <c r="H36" s="14" t="str">
        <f aca="false">IF(OR(F36="",G36=""),"",F36*G36)</f>
        <v/>
      </c>
      <c r="I36" s="15" t="str">
        <f aca="false">IF(H36="","",IF(H36&gt;=6,"Alta",IF(H36&gt;=3,"Media","Baja")))</f>
        <v/>
      </c>
      <c r="J36" s="11"/>
      <c r="K36" s="11"/>
      <c r="L36" s="11"/>
      <c r="M36" s="12"/>
      <c r="N36" s="11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3"/>
      <c r="G37" s="13"/>
      <c r="H37" s="14" t="str">
        <f aca="false">IF(OR(F37="",G37=""),"",F37*G37)</f>
        <v/>
      </c>
      <c r="I37" s="15" t="str">
        <f aca="false">IF(H37="","",IF(H37&gt;=6,"Alta",IF(H37&gt;=3,"Media","Baja")))</f>
        <v/>
      </c>
      <c r="J37" s="11"/>
      <c r="K37" s="11"/>
      <c r="L37" s="11"/>
      <c r="M37" s="12"/>
      <c r="N37" s="11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3"/>
      <c r="G38" s="13"/>
      <c r="H38" s="14" t="str">
        <f aca="false">IF(OR(F38="",G38=""),"",F38*G38)</f>
        <v/>
      </c>
      <c r="I38" s="15" t="str">
        <f aca="false">IF(H38="","",IF(H38&gt;=6,"Alta",IF(H38&gt;=3,"Media","Baja")))</f>
        <v/>
      </c>
      <c r="J38" s="11"/>
      <c r="K38" s="11"/>
      <c r="L38" s="11"/>
      <c r="M38" s="12"/>
      <c r="N38" s="11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3"/>
      <c r="G39" s="13"/>
      <c r="H39" s="14" t="str">
        <f aca="false">IF(OR(F39="",G39=""),"",F39*G39)</f>
        <v/>
      </c>
      <c r="I39" s="15" t="str">
        <f aca="false">IF(H39="","",IF(H39&gt;=6,"Alta",IF(H39&gt;=3,"Media","Baja")))</f>
        <v/>
      </c>
      <c r="J39" s="11"/>
      <c r="K39" s="11"/>
      <c r="L39" s="11"/>
      <c r="M39" s="12"/>
      <c r="N39" s="11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3"/>
      <c r="G40" s="13"/>
      <c r="H40" s="14" t="str">
        <f aca="false">IF(OR(F40="",G40=""),"",F40*G40)</f>
        <v/>
      </c>
      <c r="I40" s="15" t="str">
        <f aca="false">IF(H40="","",IF(H40&gt;=6,"Alta",IF(H40&gt;=3,"Media","Baja")))</f>
        <v/>
      </c>
      <c r="J40" s="11"/>
      <c r="K40" s="11"/>
      <c r="L40" s="11"/>
      <c r="M40" s="12"/>
      <c r="N40" s="11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3"/>
      <c r="G41" s="13"/>
      <c r="H41" s="14" t="str">
        <f aca="false">IF(OR(F41="",G41=""),"",F41*G41)</f>
        <v/>
      </c>
      <c r="I41" s="15" t="str">
        <f aca="false">IF(H41="","",IF(H41&gt;=6,"Alta",IF(H41&gt;=3,"Media","Baja")))</f>
        <v/>
      </c>
      <c r="J41" s="11"/>
      <c r="K41" s="11"/>
      <c r="L41" s="11"/>
      <c r="M41" s="12"/>
      <c r="N41" s="11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3"/>
      <c r="G42" s="13"/>
      <c r="H42" s="14" t="str">
        <f aca="false">IF(OR(F42="",G42=""),"",F42*G42)</f>
        <v/>
      </c>
      <c r="I42" s="15" t="str">
        <f aca="false">IF(H42="","",IF(H42&gt;=6,"Alta",IF(H42&gt;=3,"Media","Baja")))</f>
        <v/>
      </c>
      <c r="J42" s="11"/>
      <c r="K42" s="11"/>
      <c r="L42" s="11"/>
      <c r="M42" s="12"/>
      <c r="N42" s="11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3"/>
      <c r="G43" s="13"/>
      <c r="H43" s="14" t="str">
        <f aca="false">IF(OR(F43="",G43=""),"",F43*G43)</f>
        <v/>
      </c>
      <c r="I43" s="15" t="str">
        <f aca="false">IF(H43="","",IF(H43&gt;=6,"Alta",IF(H43&gt;=3,"Media","Baja")))</f>
        <v/>
      </c>
      <c r="J43" s="11"/>
      <c r="K43" s="11"/>
      <c r="L43" s="11"/>
      <c r="M43" s="12"/>
      <c r="N43" s="11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3"/>
      <c r="G44" s="13"/>
      <c r="H44" s="14" t="str">
        <f aca="false">IF(OR(F44="",G44=""),"",F44*G44)</f>
        <v/>
      </c>
      <c r="I44" s="15" t="str">
        <f aca="false">IF(H44="","",IF(H44&gt;=6,"Alta",IF(H44&gt;=3,"Media","Baja")))</f>
        <v/>
      </c>
      <c r="J44" s="11"/>
      <c r="K44" s="11"/>
      <c r="L44" s="11"/>
      <c r="M44" s="12"/>
      <c r="N44" s="11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3"/>
      <c r="G45" s="13"/>
      <c r="H45" s="14" t="str">
        <f aca="false">IF(OR(F45="",G45=""),"",F45*G45)</f>
        <v/>
      </c>
      <c r="I45" s="15" t="str">
        <f aca="false">IF(H45="","",IF(H45&gt;=6,"Alta",IF(H45&gt;=3,"Media","Baja")))</f>
        <v/>
      </c>
      <c r="J45" s="11"/>
      <c r="K45" s="11"/>
      <c r="L45" s="11"/>
      <c r="M45" s="12"/>
      <c r="N45" s="11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3"/>
      <c r="G46" s="13"/>
      <c r="H46" s="14" t="str">
        <f aca="false">IF(OR(F46="",G46=""),"",F46*G46)</f>
        <v/>
      </c>
      <c r="I46" s="15" t="str">
        <f aca="false">IF(H46="","",IF(H46&gt;=6,"Alta",IF(H46&gt;=3,"Media","Baja")))</f>
        <v/>
      </c>
      <c r="J46" s="11"/>
      <c r="K46" s="11"/>
      <c r="L46" s="11"/>
      <c r="M46" s="12"/>
      <c r="N46" s="11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3"/>
      <c r="G47" s="13"/>
      <c r="H47" s="14" t="str">
        <f aca="false">IF(OR(F47="",G47=""),"",F47*G47)</f>
        <v/>
      </c>
      <c r="I47" s="15" t="str">
        <f aca="false">IF(H47="","",IF(H47&gt;=6,"Alta",IF(H47&gt;=3,"Media","Baja")))</f>
        <v/>
      </c>
      <c r="J47" s="11"/>
      <c r="K47" s="11"/>
      <c r="L47" s="11"/>
      <c r="M47" s="12"/>
      <c r="N47" s="11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3"/>
      <c r="G48" s="13"/>
      <c r="H48" s="14" t="str">
        <f aca="false">IF(OR(F48="",G48=""),"",F48*G48)</f>
        <v/>
      </c>
      <c r="I48" s="15" t="str">
        <f aca="false">IF(H48="","",IF(H48&gt;=6,"Alta",IF(H48&gt;=3,"Media","Baja")))</f>
        <v/>
      </c>
      <c r="J48" s="11"/>
      <c r="K48" s="11"/>
      <c r="L48" s="11"/>
      <c r="M48" s="12"/>
      <c r="N48" s="11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3"/>
      <c r="G49" s="13"/>
      <c r="H49" s="14" t="str">
        <f aca="false">IF(OR(F49="",G49=""),"",F49*G49)</f>
        <v/>
      </c>
      <c r="I49" s="15" t="str">
        <f aca="false">IF(H49="","",IF(H49&gt;=6,"Alta",IF(H49&gt;=3,"Media","Baja")))</f>
        <v/>
      </c>
      <c r="J49" s="11"/>
      <c r="K49" s="11"/>
      <c r="L49" s="11"/>
      <c r="M49" s="12"/>
      <c r="N49" s="11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3"/>
      <c r="G50" s="13"/>
      <c r="H50" s="14" t="str">
        <f aca="false">IF(OR(F50="",G50=""),"",F50*G50)</f>
        <v/>
      </c>
      <c r="I50" s="15" t="str">
        <f aca="false">IF(H50="","",IF(H50&gt;=6,"Alta",IF(H50&gt;=3,"Media","Baja")))</f>
        <v/>
      </c>
      <c r="J50" s="11"/>
      <c r="K50" s="11"/>
      <c r="L50" s="11"/>
      <c r="M50" s="12"/>
      <c r="N50" s="11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3"/>
      <c r="G51" s="13"/>
      <c r="H51" s="14" t="str">
        <f aca="false">IF(OR(F51="",G51=""),"",F51*G51)</f>
        <v/>
      </c>
      <c r="I51" s="15" t="str">
        <f aca="false">IF(H51="","",IF(H51&gt;=6,"Alta",IF(H51&gt;=3,"Media","Baja")))</f>
        <v/>
      </c>
      <c r="J51" s="11"/>
      <c r="K51" s="11"/>
      <c r="L51" s="11"/>
      <c r="M51" s="12"/>
      <c r="N51" s="11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3"/>
      <c r="G52" s="13"/>
      <c r="H52" s="14" t="str">
        <f aca="false">IF(OR(F52="",G52=""),"",F52*G52)</f>
        <v/>
      </c>
      <c r="I52" s="15" t="str">
        <f aca="false">IF(H52="","",IF(H52&gt;=6,"Alta",IF(H52&gt;=3,"Media","Baja")))</f>
        <v/>
      </c>
      <c r="J52" s="11"/>
      <c r="K52" s="11"/>
      <c r="L52" s="11"/>
      <c r="M52" s="12"/>
      <c r="N52" s="11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3"/>
      <c r="G53" s="13"/>
      <c r="H53" s="14" t="str">
        <f aca="false">IF(OR(F53="",G53=""),"",F53*G53)</f>
        <v/>
      </c>
      <c r="I53" s="15" t="str">
        <f aca="false">IF(H53="","",IF(H53&gt;=6,"Alta",IF(H53&gt;=3,"Media","Baja")))</f>
        <v/>
      </c>
      <c r="J53" s="11"/>
      <c r="K53" s="11"/>
      <c r="L53" s="11"/>
      <c r="M53" s="12"/>
      <c r="N53" s="11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3"/>
      <c r="G54" s="13"/>
      <c r="H54" s="14" t="str">
        <f aca="false">IF(OR(F54="",G54=""),"",F54*G54)</f>
        <v/>
      </c>
      <c r="I54" s="15" t="str">
        <f aca="false">IF(H54="","",IF(H54&gt;=6,"Alta",IF(H54&gt;=3,"Media","Baja")))</f>
        <v/>
      </c>
      <c r="J54" s="11"/>
      <c r="K54" s="11"/>
      <c r="L54" s="11"/>
      <c r="M54" s="12"/>
      <c r="N54" s="11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3"/>
      <c r="G55" s="13"/>
      <c r="H55" s="14" t="str">
        <f aca="false">IF(OR(F55="",G55=""),"",F55*G55)</f>
        <v/>
      </c>
      <c r="I55" s="15" t="str">
        <f aca="false">IF(H55="","",IF(H55&gt;=6,"Alta",IF(H55&gt;=3,"Media","Baja")))</f>
        <v/>
      </c>
      <c r="J55" s="11"/>
      <c r="K55" s="11"/>
      <c r="L55" s="11"/>
      <c r="M55" s="12"/>
      <c r="N55" s="11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3"/>
      <c r="G56" s="13"/>
      <c r="H56" s="14" t="str">
        <f aca="false">IF(OR(F56="",G56=""),"",F56*G56)</f>
        <v/>
      </c>
      <c r="I56" s="15" t="str">
        <f aca="false">IF(H56="","",IF(H56&gt;=6,"Alta",IF(H56&gt;=3,"Media","Baja")))</f>
        <v/>
      </c>
      <c r="J56" s="11"/>
      <c r="K56" s="11"/>
      <c r="L56" s="11"/>
      <c r="M56" s="12"/>
      <c r="N56" s="11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3"/>
      <c r="G57" s="13"/>
      <c r="H57" s="14" t="str">
        <f aca="false">IF(OR(F57="",G57=""),"",F57*G57)</f>
        <v/>
      </c>
      <c r="I57" s="15" t="str">
        <f aca="false">IF(H57="","",IF(H57&gt;=6,"Alta",IF(H57&gt;=3,"Media","Baja")))</f>
        <v/>
      </c>
      <c r="J57" s="11"/>
      <c r="K57" s="11"/>
      <c r="L57" s="11"/>
      <c r="M57" s="12"/>
      <c r="N57" s="11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3"/>
      <c r="G58" s="13"/>
      <c r="H58" s="14" t="str">
        <f aca="false">IF(OR(F58="",G58=""),"",F58*G58)</f>
        <v/>
      </c>
      <c r="I58" s="15" t="str">
        <f aca="false">IF(H58="","",IF(H58&gt;=6,"Alta",IF(H58&gt;=3,"Media","Baja")))</f>
        <v/>
      </c>
      <c r="J58" s="11"/>
      <c r="K58" s="11"/>
      <c r="L58" s="11"/>
      <c r="M58" s="12"/>
      <c r="N58" s="11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3"/>
      <c r="G59" s="13"/>
      <c r="H59" s="14" t="str">
        <f aca="false">IF(OR(F59="",G59=""),"",F59*G59)</f>
        <v/>
      </c>
      <c r="I59" s="15" t="str">
        <f aca="false">IF(H59="","",IF(H59&gt;=6,"Alta",IF(H59&gt;=3,"Media","Baja")))</f>
        <v/>
      </c>
      <c r="J59" s="11"/>
      <c r="K59" s="11"/>
      <c r="L59" s="11"/>
      <c r="M59" s="12"/>
      <c r="N59" s="11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3"/>
      <c r="G60" s="13"/>
      <c r="H60" s="14" t="str">
        <f aca="false">IF(OR(F60="",G60=""),"",F60*G60)</f>
        <v/>
      </c>
      <c r="I60" s="15" t="str">
        <f aca="false">IF(H60="","",IF(H60&gt;=6,"Alta",IF(H60&gt;=3,"Media","Baja")))</f>
        <v/>
      </c>
      <c r="J60" s="11"/>
      <c r="K60" s="11"/>
      <c r="L60" s="11"/>
      <c r="M60" s="12"/>
      <c r="N60" s="11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3"/>
      <c r="G61" s="13"/>
      <c r="H61" s="14" t="str">
        <f aca="false">IF(OR(F61="",G61=""),"",F61*G61)</f>
        <v/>
      </c>
      <c r="I61" s="15" t="str">
        <f aca="false">IF(H61="","",IF(H61&gt;=6,"Alta",IF(H61&gt;=3,"Media","Baja")))</f>
        <v/>
      </c>
      <c r="J61" s="11"/>
      <c r="K61" s="11"/>
      <c r="L61" s="11"/>
      <c r="M61" s="12"/>
      <c r="N61" s="11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3"/>
      <c r="G62" s="13"/>
      <c r="H62" s="14" t="str">
        <f aca="false">IF(OR(F62="",G62=""),"",F62*G62)</f>
        <v/>
      </c>
      <c r="I62" s="15" t="str">
        <f aca="false">IF(H62="","",IF(H62&gt;=6,"Alta",IF(H62&gt;=3,"Media","Baja")))</f>
        <v/>
      </c>
      <c r="J62" s="11"/>
      <c r="K62" s="11"/>
      <c r="L62" s="11"/>
      <c r="M62" s="12"/>
      <c r="N62" s="11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3"/>
      <c r="G63" s="13"/>
      <c r="H63" s="14" t="str">
        <f aca="false">IF(OR(F63="",G63=""),"",F63*G63)</f>
        <v/>
      </c>
      <c r="I63" s="15" t="str">
        <f aca="false">IF(H63="","",IF(H63&gt;=6,"Alta",IF(H63&gt;=3,"Media","Baja")))</f>
        <v/>
      </c>
      <c r="J63" s="11"/>
      <c r="K63" s="11"/>
      <c r="L63" s="11"/>
      <c r="M63" s="12"/>
      <c r="N63" s="11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3"/>
      <c r="G64" s="13"/>
      <c r="H64" s="14" t="str">
        <f aca="false">IF(OR(F64="",G64=""),"",F64*G64)</f>
        <v/>
      </c>
      <c r="I64" s="15" t="str">
        <f aca="false">IF(H64="","",IF(H64&gt;=6,"Alta",IF(H64&gt;=3,"Media","Baja")))</f>
        <v/>
      </c>
      <c r="J64" s="11"/>
      <c r="K64" s="11"/>
      <c r="L64" s="11"/>
      <c r="M64" s="12"/>
      <c r="N64" s="11"/>
    </row>
  </sheetData>
  <autoFilter ref="A4:N64"/>
  <conditionalFormatting sqref="I5:I64">
    <cfRule type="cellIs" priority="2" operator="equal" aboveAverage="0" equalAverage="0" bottom="0" percent="0" rank="0" text="" dxfId="7">
      <formula>"Alta"</formula>
    </cfRule>
    <cfRule type="cellIs" priority="3" operator="equal" aboveAverage="0" equalAverage="0" bottom="0" percent="0" rank="0" text="" dxfId="8">
      <formula>"Media"</formula>
    </cfRule>
    <cfRule type="cellIs" priority="4" operator="equal" aboveAverage="0" equalAverage="0" bottom="0" percent="0" rank="0" text="" dxfId="9">
      <formula>"Baja"</formula>
    </cfRule>
  </conditionalFormatting>
  <dataValidations count="3">
    <dataValidation allowBlank="true" errorStyle="stop" operator="between" showDropDown="false" showErrorMessage="false" showInputMessage="false" sqref="C5:C64" type="list">
      <formula1>"Técnico,Licenciamiento,Seguridad,Legal / RH,Cambio organizacional,Soporte,Recursos,Proveedor,Cronograma"</formula1>
      <formula2>0</formula2>
    </dataValidation>
    <dataValidation allowBlank="true" errorStyle="stop" operator="between" showDropDown="false" showErrorMessage="false" showInputMessage="false" sqref="F5:G64" type="list">
      <formula1>"1,2,3"</formula1>
      <formula2>0</formula2>
    </dataValidation>
    <dataValidation allowBlank="true" errorStyle="stop" operator="between" showDropDown="false" showErrorMessage="false" showInputMessage="false" sqref="N5:N64" type="list">
      <formula1>"Abierto,En mitigación,Materializado,Cerrado"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0" hidden="false" customHeight="true" outlineLevel="0" collapsed="false">
      <c r="A4" s="8" t="s">
        <v>40</v>
      </c>
      <c r="B4" s="8" t="s">
        <v>103</v>
      </c>
      <c r="C4" s="8" t="s">
        <v>104</v>
      </c>
      <c r="D4" s="8" t="s">
        <v>105</v>
      </c>
      <c r="E4" s="8" t="s">
        <v>106</v>
      </c>
      <c r="F4" s="8" t="s">
        <v>107</v>
      </c>
      <c r="G4" s="8" t="s">
        <v>108</v>
      </c>
      <c r="H4" s="8" t="s">
        <v>50</v>
      </c>
      <c r="I4" s="8" t="s">
        <v>109</v>
      </c>
      <c r="J4" s="8" t="s">
        <v>52</v>
      </c>
      <c r="K4" s="8" t="s">
        <v>110</v>
      </c>
      <c r="L4" s="8" t="s">
        <v>111</v>
      </c>
    </row>
    <row r="5" customFormat="false" ht="23.85" hidden="false" customHeight="false" outlineLevel="0" collapsed="false">
      <c r="A5" s="11" t="s">
        <v>112</v>
      </c>
      <c r="B5" s="12" t="n">
        <v>46303</v>
      </c>
      <c r="C5" s="11" t="s">
        <v>113</v>
      </c>
      <c r="D5" s="11" t="s">
        <v>114</v>
      </c>
      <c r="E5" s="11" t="s">
        <v>115</v>
      </c>
      <c r="F5" s="11" t="s">
        <v>94</v>
      </c>
      <c r="G5" s="11" t="s">
        <v>116</v>
      </c>
      <c r="H5" s="11" t="s">
        <v>93</v>
      </c>
      <c r="I5" s="12" t="n">
        <v>46305</v>
      </c>
      <c r="J5" s="11" t="s">
        <v>60</v>
      </c>
      <c r="K5" s="12"/>
      <c r="L5" s="11" t="s">
        <v>117</v>
      </c>
    </row>
    <row r="6" customFormat="false" ht="15" hidden="false" customHeight="false" outlineLevel="0" collapsed="false">
      <c r="A6" s="11"/>
      <c r="B6" s="12"/>
      <c r="C6" s="11"/>
      <c r="D6" s="11"/>
      <c r="E6" s="11"/>
      <c r="F6" s="11"/>
      <c r="G6" s="11"/>
      <c r="H6" s="11"/>
      <c r="I6" s="12"/>
      <c r="J6" s="11"/>
      <c r="K6" s="12"/>
      <c r="L6" s="11"/>
    </row>
    <row r="7" customFormat="false" ht="15" hidden="false" customHeight="false" outlineLevel="0" collapsed="false">
      <c r="A7" s="11"/>
      <c r="B7" s="12"/>
      <c r="C7" s="11"/>
      <c r="D7" s="11"/>
      <c r="E7" s="11"/>
      <c r="F7" s="11"/>
      <c r="G7" s="11"/>
      <c r="H7" s="11"/>
      <c r="I7" s="12"/>
      <c r="J7" s="11"/>
      <c r="K7" s="12"/>
      <c r="L7" s="11"/>
    </row>
    <row r="8" customFormat="false" ht="15" hidden="false" customHeight="false" outlineLevel="0" collapsed="false">
      <c r="A8" s="11"/>
      <c r="B8" s="12"/>
      <c r="C8" s="11"/>
      <c r="D8" s="11"/>
      <c r="E8" s="11"/>
      <c r="F8" s="11"/>
      <c r="G8" s="11"/>
      <c r="H8" s="11"/>
      <c r="I8" s="12"/>
      <c r="J8" s="11"/>
      <c r="K8" s="12"/>
      <c r="L8" s="11"/>
    </row>
    <row r="9" customFormat="false" ht="15" hidden="false" customHeight="false" outlineLevel="0" collapsed="false">
      <c r="A9" s="11"/>
      <c r="B9" s="12"/>
      <c r="C9" s="11"/>
      <c r="D9" s="11"/>
      <c r="E9" s="11"/>
      <c r="F9" s="11"/>
      <c r="G9" s="11"/>
      <c r="H9" s="11"/>
      <c r="I9" s="12"/>
      <c r="J9" s="11"/>
      <c r="K9" s="12"/>
      <c r="L9" s="11"/>
    </row>
    <row r="10" customFormat="false" ht="15" hidden="false" customHeight="false" outlineLevel="0" collapsed="false">
      <c r="A10" s="11"/>
      <c r="B10" s="12"/>
      <c r="C10" s="11"/>
      <c r="D10" s="11"/>
      <c r="E10" s="11"/>
      <c r="F10" s="11"/>
      <c r="G10" s="11"/>
      <c r="H10" s="11"/>
      <c r="I10" s="12"/>
      <c r="J10" s="11"/>
      <c r="K10" s="12"/>
      <c r="L10" s="11"/>
    </row>
    <row r="11" customFormat="false" ht="15" hidden="false" customHeight="false" outlineLevel="0" collapsed="false">
      <c r="A11" s="11"/>
      <c r="B11" s="12"/>
      <c r="C11" s="11"/>
      <c r="D11" s="11"/>
      <c r="E11" s="11"/>
      <c r="F11" s="11"/>
      <c r="G11" s="11"/>
      <c r="H11" s="11"/>
      <c r="I11" s="12"/>
      <c r="J11" s="11"/>
      <c r="K11" s="12"/>
      <c r="L11" s="11"/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11"/>
      <c r="G12" s="11"/>
      <c r="H12" s="11"/>
      <c r="I12" s="12"/>
      <c r="J12" s="11"/>
      <c r="K12" s="12"/>
      <c r="L12" s="11"/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1"/>
      <c r="G13" s="11"/>
      <c r="H13" s="11"/>
      <c r="I13" s="12"/>
      <c r="J13" s="11"/>
      <c r="K13" s="12"/>
      <c r="L13" s="11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1"/>
      <c r="G14" s="11"/>
      <c r="H14" s="11"/>
      <c r="I14" s="12"/>
      <c r="J14" s="11"/>
      <c r="K14" s="12"/>
      <c r="L14" s="11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1"/>
      <c r="G15" s="11"/>
      <c r="H15" s="11"/>
      <c r="I15" s="12"/>
      <c r="J15" s="11"/>
      <c r="K15" s="12"/>
      <c r="L15" s="11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1"/>
      <c r="G16" s="11"/>
      <c r="H16" s="11"/>
      <c r="I16" s="12"/>
      <c r="J16" s="11"/>
      <c r="K16" s="12"/>
      <c r="L16" s="11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1"/>
      <c r="G17" s="11"/>
      <c r="H17" s="11"/>
      <c r="I17" s="12"/>
      <c r="J17" s="11"/>
      <c r="K17" s="12"/>
      <c r="L17" s="11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1"/>
      <c r="G18" s="11"/>
      <c r="H18" s="11"/>
      <c r="I18" s="12"/>
      <c r="J18" s="11"/>
      <c r="K18" s="12"/>
      <c r="L18" s="11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1"/>
      <c r="G19" s="11"/>
      <c r="H19" s="11"/>
      <c r="I19" s="12"/>
      <c r="J19" s="11"/>
      <c r="K19" s="12"/>
      <c r="L19" s="11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1"/>
      <c r="G20" s="11"/>
      <c r="H20" s="11"/>
      <c r="I20" s="12"/>
      <c r="J20" s="11"/>
      <c r="K20" s="12"/>
      <c r="L20" s="11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1"/>
      <c r="G21" s="11"/>
      <c r="H21" s="11"/>
      <c r="I21" s="12"/>
      <c r="J21" s="11"/>
      <c r="K21" s="12"/>
      <c r="L21" s="11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1"/>
      <c r="G22" s="11"/>
      <c r="H22" s="11"/>
      <c r="I22" s="12"/>
      <c r="J22" s="11"/>
      <c r="K22" s="12"/>
      <c r="L22" s="11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1"/>
      <c r="G23" s="11"/>
      <c r="H23" s="11"/>
      <c r="I23" s="12"/>
      <c r="J23" s="11"/>
      <c r="K23" s="12"/>
      <c r="L23" s="11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1"/>
      <c r="G24" s="11"/>
      <c r="H24" s="11"/>
      <c r="I24" s="12"/>
      <c r="J24" s="11"/>
      <c r="K24" s="12"/>
      <c r="L24" s="11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1"/>
      <c r="G25" s="11"/>
      <c r="H25" s="11"/>
      <c r="I25" s="12"/>
      <c r="J25" s="11"/>
      <c r="K25" s="12"/>
      <c r="L25" s="11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1"/>
      <c r="G26" s="11"/>
      <c r="H26" s="11"/>
      <c r="I26" s="12"/>
      <c r="J26" s="11"/>
      <c r="K26" s="12"/>
      <c r="L26" s="11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1"/>
      <c r="G27" s="11"/>
      <c r="H27" s="11"/>
      <c r="I27" s="12"/>
      <c r="J27" s="11"/>
      <c r="K27" s="12"/>
      <c r="L27" s="11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1"/>
      <c r="G28" s="11"/>
      <c r="H28" s="11"/>
      <c r="I28" s="12"/>
      <c r="J28" s="11"/>
      <c r="K28" s="12"/>
      <c r="L28" s="11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1"/>
      <c r="G29" s="11"/>
      <c r="H29" s="11"/>
      <c r="I29" s="12"/>
      <c r="J29" s="11"/>
      <c r="K29" s="12"/>
      <c r="L29" s="11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1"/>
      <c r="G30" s="11"/>
      <c r="H30" s="11"/>
      <c r="I30" s="12"/>
      <c r="J30" s="11"/>
      <c r="K30" s="12"/>
      <c r="L30" s="11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1"/>
      <c r="G31" s="11"/>
      <c r="H31" s="11"/>
      <c r="I31" s="12"/>
      <c r="J31" s="11"/>
      <c r="K31" s="12"/>
      <c r="L31" s="11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1"/>
      <c r="G32" s="11"/>
      <c r="H32" s="11"/>
      <c r="I32" s="12"/>
      <c r="J32" s="11"/>
      <c r="K32" s="12"/>
      <c r="L32" s="11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1"/>
      <c r="G33" s="11"/>
      <c r="H33" s="11"/>
      <c r="I33" s="12"/>
      <c r="J33" s="11"/>
      <c r="K33" s="12"/>
      <c r="L33" s="11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1"/>
      <c r="G34" s="11"/>
      <c r="H34" s="11"/>
      <c r="I34" s="12"/>
      <c r="J34" s="11"/>
      <c r="K34" s="12"/>
      <c r="L34" s="11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1"/>
      <c r="G35" s="11"/>
      <c r="H35" s="11"/>
      <c r="I35" s="12"/>
      <c r="J35" s="11"/>
      <c r="K35" s="12"/>
      <c r="L35" s="11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1"/>
      <c r="G36" s="11"/>
      <c r="H36" s="11"/>
      <c r="I36" s="12"/>
      <c r="J36" s="11"/>
      <c r="K36" s="12"/>
      <c r="L36" s="11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1"/>
      <c r="G37" s="11"/>
      <c r="H37" s="11"/>
      <c r="I37" s="12"/>
      <c r="J37" s="11"/>
      <c r="K37" s="12"/>
      <c r="L37" s="11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1"/>
      <c r="G38" s="11"/>
      <c r="H38" s="11"/>
      <c r="I38" s="12"/>
      <c r="J38" s="11"/>
      <c r="K38" s="12"/>
      <c r="L38" s="11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1"/>
      <c r="G39" s="11"/>
      <c r="H39" s="11"/>
      <c r="I39" s="12"/>
      <c r="J39" s="11"/>
      <c r="K39" s="12"/>
      <c r="L39" s="11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1"/>
      <c r="G40" s="11"/>
      <c r="H40" s="11"/>
      <c r="I40" s="12"/>
      <c r="J40" s="11"/>
      <c r="K40" s="12"/>
      <c r="L40" s="11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1"/>
      <c r="G41" s="11"/>
      <c r="H41" s="11"/>
      <c r="I41" s="12"/>
      <c r="J41" s="11"/>
      <c r="K41" s="12"/>
      <c r="L41" s="11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1"/>
      <c r="G42" s="11"/>
      <c r="H42" s="11"/>
      <c r="I42" s="12"/>
      <c r="J42" s="11"/>
      <c r="K42" s="12"/>
      <c r="L42" s="11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1"/>
      <c r="G43" s="11"/>
      <c r="H43" s="11"/>
      <c r="I43" s="12"/>
      <c r="J43" s="11"/>
      <c r="K43" s="12"/>
      <c r="L43" s="11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1"/>
      <c r="G44" s="11"/>
      <c r="H44" s="11"/>
      <c r="I44" s="12"/>
      <c r="J44" s="11"/>
      <c r="K44" s="12"/>
      <c r="L44" s="11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1"/>
      <c r="G45" s="11"/>
      <c r="H45" s="11"/>
      <c r="I45" s="12"/>
      <c r="J45" s="11"/>
      <c r="K45" s="12"/>
      <c r="L45" s="11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1"/>
      <c r="G46" s="11"/>
      <c r="H46" s="11"/>
      <c r="I46" s="12"/>
      <c r="J46" s="11"/>
      <c r="K46" s="12"/>
      <c r="L46" s="11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1"/>
      <c r="G47" s="11"/>
      <c r="H47" s="11"/>
      <c r="I47" s="12"/>
      <c r="J47" s="11"/>
      <c r="K47" s="12"/>
      <c r="L47" s="11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1"/>
      <c r="G48" s="11"/>
      <c r="H48" s="11"/>
      <c r="I48" s="12"/>
      <c r="J48" s="11"/>
      <c r="K48" s="12"/>
      <c r="L48" s="11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1"/>
      <c r="G49" s="11"/>
      <c r="H49" s="11"/>
      <c r="I49" s="12"/>
      <c r="J49" s="11"/>
      <c r="K49" s="12"/>
      <c r="L49" s="11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1"/>
      <c r="G50" s="11"/>
      <c r="H50" s="11"/>
      <c r="I50" s="12"/>
      <c r="J50" s="11"/>
      <c r="K50" s="12"/>
      <c r="L50" s="11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1"/>
      <c r="G51" s="11"/>
      <c r="H51" s="11"/>
      <c r="I51" s="12"/>
      <c r="J51" s="11"/>
      <c r="K51" s="12"/>
      <c r="L51" s="11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1"/>
      <c r="G52" s="11"/>
      <c r="H52" s="11"/>
      <c r="I52" s="12"/>
      <c r="J52" s="11"/>
      <c r="K52" s="12"/>
      <c r="L52" s="11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1"/>
      <c r="G53" s="11"/>
      <c r="H53" s="11"/>
      <c r="I53" s="12"/>
      <c r="J53" s="11"/>
      <c r="K53" s="12"/>
      <c r="L53" s="11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1"/>
      <c r="G54" s="11"/>
      <c r="H54" s="11"/>
      <c r="I54" s="12"/>
      <c r="J54" s="11"/>
      <c r="K54" s="12"/>
      <c r="L54" s="11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1"/>
      <c r="G55" s="11"/>
      <c r="H55" s="11"/>
      <c r="I55" s="12"/>
      <c r="J55" s="11"/>
      <c r="K55" s="12"/>
      <c r="L55" s="11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1"/>
      <c r="G56" s="11"/>
      <c r="H56" s="11"/>
      <c r="I56" s="12"/>
      <c r="J56" s="11"/>
      <c r="K56" s="12"/>
      <c r="L56" s="11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1"/>
      <c r="G57" s="11"/>
      <c r="H57" s="11"/>
      <c r="I57" s="12"/>
      <c r="J57" s="11"/>
      <c r="K57" s="12"/>
      <c r="L57" s="11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1"/>
      <c r="G58" s="11"/>
      <c r="H58" s="11"/>
      <c r="I58" s="12"/>
      <c r="J58" s="11"/>
      <c r="K58" s="12"/>
      <c r="L58" s="11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1"/>
      <c r="G59" s="11"/>
      <c r="H59" s="11"/>
      <c r="I59" s="12"/>
      <c r="J59" s="11"/>
      <c r="K59" s="12"/>
      <c r="L59" s="11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1"/>
      <c r="G60" s="11"/>
      <c r="H60" s="11"/>
      <c r="I60" s="12"/>
      <c r="J60" s="11"/>
      <c r="K60" s="12"/>
      <c r="L60" s="11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1"/>
      <c r="G61" s="11"/>
      <c r="H61" s="11"/>
      <c r="I61" s="12"/>
      <c r="J61" s="11"/>
      <c r="K61" s="12"/>
      <c r="L61" s="11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1"/>
      <c r="G62" s="11"/>
      <c r="H62" s="11"/>
      <c r="I62" s="12"/>
      <c r="J62" s="11"/>
      <c r="K62" s="12"/>
      <c r="L62" s="11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1"/>
      <c r="G63" s="11"/>
      <c r="H63" s="11"/>
      <c r="I63" s="12"/>
      <c r="J63" s="11"/>
      <c r="K63" s="12"/>
      <c r="L63" s="11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1"/>
      <c r="G64" s="11"/>
      <c r="H64" s="11"/>
      <c r="I64" s="12"/>
      <c r="J64" s="11"/>
      <c r="K64" s="12"/>
      <c r="L64" s="11"/>
    </row>
  </sheetData>
  <autoFilter ref="A4:L64"/>
  <conditionalFormatting sqref="A5:L64">
    <cfRule type="expression" priority="2" aboveAverage="0" equalAverage="0" bottom="0" percent="0" rank="0" text="" dxfId="10">
      <formula>AND($I5&lt;&gt;"",$I5&lt;TODAY(),$J5&lt;&gt;"Cerrado")</formula>
    </cfRule>
  </conditionalFormatting>
  <dataValidations count="2">
    <dataValidation allowBlank="true" errorStyle="stop" operator="between" showDropDown="false" showErrorMessage="false" showInputMessage="false" sqref="E5:E64" type="list">
      <formula1>"Alta,Media,Baja"</formula1>
      <formula2>0</formula2>
    </dataValidation>
    <dataValidation allowBlank="true" errorStyle="stop" operator="between" showDropDown="false" showErrorMessage="false" showInputMessage="false" sqref="J5:J64" type="list">
      <formula1>"Abierto,En proceso,Escalado,Cerrado"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0" hidden="false" customHeight="true" outlineLevel="0" collapsed="false">
      <c r="A4" s="8" t="s">
        <v>40</v>
      </c>
      <c r="B4" s="8" t="s">
        <v>120</v>
      </c>
      <c r="C4" s="8" t="s">
        <v>121</v>
      </c>
      <c r="D4" s="8" t="s">
        <v>122</v>
      </c>
      <c r="E4" s="8" t="s">
        <v>50</v>
      </c>
      <c r="F4" s="8" t="s">
        <v>109</v>
      </c>
      <c r="G4" s="8" t="s">
        <v>52</v>
      </c>
      <c r="H4" s="8" t="s">
        <v>123</v>
      </c>
      <c r="I4" s="8" t="s">
        <v>111</v>
      </c>
      <c r="J4" s="2" t="s">
        <v>124</v>
      </c>
    </row>
    <row r="5" customFormat="false" ht="23.85" hidden="false" customHeight="false" outlineLevel="0" collapsed="false">
      <c r="A5" s="11" t="s">
        <v>125</v>
      </c>
      <c r="B5" s="12" t="n">
        <v>46303</v>
      </c>
      <c r="C5" s="11" t="s">
        <v>126</v>
      </c>
      <c r="D5" s="11" t="s">
        <v>127</v>
      </c>
      <c r="E5" s="11" t="s">
        <v>74</v>
      </c>
      <c r="F5" s="12"/>
      <c r="G5" s="11" t="s">
        <v>128</v>
      </c>
      <c r="H5" s="15" t="str">
        <f aca="true">IF(OR(F5="",G5="Cerrada"),"",MAX(0,TODAY()-F5))</f>
        <v/>
      </c>
      <c r="I5" s="11"/>
    </row>
    <row r="6" customFormat="false" ht="23.85" hidden="false" customHeight="false" outlineLevel="0" collapsed="false">
      <c r="A6" s="11" t="s">
        <v>129</v>
      </c>
      <c r="B6" s="12" t="n">
        <v>46303</v>
      </c>
      <c r="C6" s="11" t="s">
        <v>126</v>
      </c>
      <c r="D6" s="11" t="s">
        <v>130</v>
      </c>
      <c r="E6" s="11" t="s">
        <v>93</v>
      </c>
      <c r="F6" s="12"/>
      <c r="G6" s="11" t="s">
        <v>128</v>
      </c>
      <c r="H6" s="15" t="str">
        <f aca="true">IF(OR(F6="",G6="Cerrada"),"",MAX(0,TODAY()-F6))</f>
        <v/>
      </c>
      <c r="I6" s="11"/>
    </row>
    <row r="7" customFormat="false" ht="23.85" hidden="false" customHeight="false" outlineLevel="0" collapsed="false">
      <c r="A7" s="11" t="s">
        <v>131</v>
      </c>
      <c r="B7" s="12" t="n">
        <v>46303</v>
      </c>
      <c r="C7" s="11" t="s">
        <v>126</v>
      </c>
      <c r="D7" s="11" t="s">
        <v>132</v>
      </c>
      <c r="E7" s="11" t="s">
        <v>59</v>
      </c>
      <c r="F7" s="12"/>
      <c r="G7" s="11" t="s">
        <v>128</v>
      </c>
      <c r="H7" s="15" t="str">
        <f aca="true">IF(OR(F7="",G7="Cerrada"),"",MAX(0,TODAY()-F7))</f>
        <v/>
      </c>
      <c r="I7" s="11"/>
    </row>
    <row r="8" customFormat="false" ht="15" hidden="false" customHeight="false" outlineLevel="0" collapsed="false">
      <c r="A8" s="11" t="s">
        <v>133</v>
      </c>
      <c r="B8" s="12" t="n">
        <v>46303</v>
      </c>
      <c r="C8" s="11" t="s">
        <v>126</v>
      </c>
      <c r="D8" s="11" t="s">
        <v>134</v>
      </c>
      <c r="E8" s="11" t="s">
        <v>74</v>
      </c>
      <c r="F8" s="12"/>
      <c r="G8" s="11" t="s">
        <v>128</v>
      </c>
      <c r="H8" s="15" t="str">
        <f aca="true">IF(OR(F8="",G8="Cerrada"),"",MAX(0,TODAY()-F8))</f>
        <v/>
      </c>
      <c r="I8" s="11"/>
    </row>
    <row r="9" customFormat="false" ht="15" hidden="false" customHeight="false" outlineLevel="0" collapsed="false">
      <c r="A9" s="11" t="s">
        <v>135</v>
      </c>
      <c r="B9" s="12" t="n">
        <v>46303</v>
      </c>
      <c r="C9" s="11" t="s">
        <v>126</v>
      </c>
      <c r="D9" s="11" t="s">
        <v>136</v>
      </c>
      <c r="E9" s="11" t="s">
        <v>137</v>
      </c>
      <c r="F9" s="12"/>
      <c r="G9" s="11" t="s">
        <v>128</v>
      </c>
      <c r="H9" s="15" t="str">
        <f aca="true">IF(OR(F9="",G9="Cerrada"),"",MAX(0,TODAY()-F9))</f>
        <v/>
      </c>
      <c r="I9" s="11"/>
    </row>
    <row r="10" customFormat="false" ht="23.85" hidden="false" customHeight="false" outlineLevel="0" collapsed="false">
      <c r="A10" s="11" t="s">
        <v>138</v>
      </c>
      <c r="B10" s="12" t="n">
        <v>46303</v>
      </c>
      <c r="C10" s="11" t="s">
        <v>126</v>
      </c>
      <c r="D10" s="11" t="s">
        <v>139</v>
      </c>
      <c r="E10" s="11" t="s">
        <v>100</v>
      </c>
      <c r="F10" s="12"/>
      <c r="G10" s="11" t="s">
        <v>128</v>
      </c>
      <c r="H10" s="15" t="str">
        <f aca="true">IF(OR(F10="",G10="Cerrada"),"",MAX(0,TODAY()-F10))</f>
        <v/>
      </c>
      <c r="I10" s="11"/>
    </row>
    <row r="11" customFormat="false" ht="15" hidden="false" customHeight="false" outlineLevel="0" collapsed="false">
      <c r="A11" s="11" t="s">
        <v>140</v>
      </c>
      <c r="B11" s="12" t="n">
        <v>46303</v>
      </c>
      <c r="C11" s="11" t="s">
        <v>126</v>
      </c>
      <c r="D11" s="11" t="s">
        <v>141</v>
      </c>
      <c r="E11" s="11" t="s">
        <v>100</v>
      </c>
      <c r="F11" s="12"/>
      <c r="G11" s="11" t="s">
        <v>128</v>
      </c>
      <c r="H11" s="15" t="str">
        <f aca="true">IF(OR(F11="",G11="Cerrada"),"",MAX(0,TODAY()-F11))</f>
        <v/>
      </c>
      <c r="I11" s="11"/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12"/>
      <c r="G12" s="11"/>
      <c r="H12" s="15" t="str">
        <f aca="true">IF(OR(F12="",G12="Cerrada"),"",MAX(0,TODAY()-F12))</f>
        <v/>
      </c>
      <c r="I12" s="11"/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2"/>
      <c r="G13" s="11"/>
      <c r="H13" s="15" t="str">
        <f aca="true">IF(OR(F13="",G13="Cerrada"),"",MAX(0,TODAY()-F13))</f>
        <v/>
      </c>
      <c r="I13" s="11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2"/>
      <c r="G14" s="11"/>
      <c r="H14" s="15" t="str">
        <f aca="true">IF(OR(F14="",G14="Cerrada"),"",MAX(0,TODAY()-F14))</f>
        <v/>
      </c>
      <c r="I14" s="11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2"/>
      <c r="G15" s="11"/>
      <c r="H15" s="15" t="str">
        <f aca="true">IF(OR(F15="",G15="Cerrada"),"",MAX(0,TODAY()-F15))</f>
        <v/>
      </c>
      <c r="I15" s="11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2"/>
      <c r="G16" s="11"/>
      <c r="H16" s="15" t="str">
        <f aca="true">IF(OR(F16="",G16="Cerrada"),"",MAX(0,TODAY()-F16))</f>
        <v/>
      </c>
      <c r="I16" s="11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2"/>
      <c r="G17" s="11"/>
      <c r="H17" s="15" t="str">
        <f aca="true">IF(OR(F17="",G17="Cerrada"),"",MAX(0,TODAY()-F17))</f>
        <v/>
      </c>
      <c r="I17" s="11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2"/>
      <c r="G18" s="11"/>
      <c r="H18" s="15" t="str">
        <f aca="true">IF(OR(F18="",G18="Cerrada"),"",MAX(0,TODAY()-F18))</f>
        <v/>
      </c>
      <c r="I18" s="11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2"/>
      <c r="G19" s="11"/>
      <c r="H19" s="15" t="str">
        <f aca="true">IF(OR(F19="",G19="Cerrada"),"",MAX(0,TODAY()-F19))</f>
        <v/>
      </c>
      <c r="I19" s="11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2"/>
      <c r="G20" s="11"/>
      <c r="H20" s="15" t="str">
        <f aca="true">IF(OR(F20="",G20="Cerrada"),"",MAX(0,TODAY()-F20))</f>
        <v/>
      </c>
      <c r="I20" s="11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2"/>
      <c r="G21" s="11"/>
      <c r="H21" s="15" t="str">
        <f aca="true">IF(OR(F21="",G21="Cerrada"),"",MAX(0,TODAY()-F21))</f>
        <v/>
      </c>
      <c r="I21" s="11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2"/>
      <c r="G22" s="11"/>
      <c r="H22" s="15" t="str">
        <f aca="true">IF(OR(F22="",G22="Cerrada"),"",MAX(0,TODAY()-F22))</f>
        <v/>
      </c>
      <c r="I22" s="11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2"/>
      <c r="G23" s="11"/>
      <c r="H23" s="15" t="str">
        <f aca="true">IF(OR(F23="",G23="Cerrada"),"",MAX(0,TODAY()-F23))</f>
        <v/>
      </c>
      <c r="I23" s="11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2"/>
      <c r="G24" s="11"/>
      <c r="H24" s="15" t="str">
        <f aca="true">IF(OR(F24="",G24="Cerrada"),"",MAX(0,TODAY()-F24))</f>
        <v/>
      </c>
      <c r="I24" s="11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2"/>
      <c r="G25" s="11"/>
      <c r="H25" s="15" t="str">
        <f aca="true">IF(OR(F25="",G25="Cerrada"),"",MAX(0,TODAY()-F25))</f>
        <v/>
      </c>
      <c r="I25" s="11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2"/>
      <c r="G26" s="11"/>
      <c r="H26" s="15" t="str">
        <f aca="true">IF(OR(F26="",G26="Cerrada"),"",MAX(0,TODAY()-F26))</f>
        <v/>
      </c>
      <c r="I26" s="11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2"/>
      <c r="G27" s="11"/>
      <c r="H27" s="15" t="str">
        <f aca="true">IF(OR(F27="",G27="Cerrada"),"",MAX(0,TODAY()-F27))</f>
        <v/>
      </c>
      <c r="I27" s="11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2"/>
      <c r="G28" s="11"/>
      <c r="H28" s="15" t="str">
        <f aca="true">IF(OR(F28="",G28="Cerrada"),"",MAX(0,TODAY()-F28))</f>
        <v/>
      </c>
      <c r="I28" s="11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2"/>
      <c r="G29" s="11"/>
      <c r="H29" s="15" t="str">
        <f aca="true">IF(OR(F29="",G29="Cerrada"),"",MAX(0,TODAY()-F29))</f>
        <v/>
      </c>
      <c r="I29" s="11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2"/>
      <c r="G30" s="11"/>
      <c r="H30" s="15" t="str">
        <f aca="true">IF(OR(F30="",G30="Cerrada"),"",MAX(0,TODAY()-F30))</f>
        <v/>
      </c>
      <c r="I30" s="11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2"/>
      <c r="G31" s="11"/>
      <c r="H31" s="15" t="str">
        <f aca="true">IF(OR(F31="",G31="Cerrada"),"",MAX(0,TODAY()-F31))</f>
        <v/>
      </c>
      <c r="I31" s="11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2"/>
      <c r="G32" s="11"/>
      <c r="H32" s="15" t="str">
        <f aca="true">IF(OR(F32="",G32="Cerrada"),"",MAX(0,TODAY()-F32))</f>
        <v/>
      </c>
      <c r="I32" s="11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2"/>
      <c r="G33" s="11"/>
      <c r="H33" s="15" t="str">
        <f aca="true">IF(OR(F33="",G33="Cerrada"),"",MAX(0,TODAY()-F33))</f>
        <v/>
      </c>
      <c r="I33" s="11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2"/>
      <c r="G34" s="11"/>
      <c r="H34" s="15" t="str">
        <f aca="true">IF(OR(F34="",G34="Cerrada"),"",MAX(0,TODAY()-F34))</f>
        <v/>
      </c>
      <c r="I34" s="11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2"/>
      <c r="G35" s="11"/>
      <c r="H35" s="15" t="str">
        <f aca="true">IF(OR(F35="",G35="Cerrada"),"",MAX(0,TODAY()-F35))</f>
        <v/>
      </c>
      <c r="I35" s="11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2"/>
      <c r="G36" s="11"/>
      <c r="H36" s="15" t="str">
        <f aca="true">IF(OR(F36="",G36="Cerrada"),"",MAX(0,TODAY()-F36))</f>
        <v/>
      </c>
      <c r="I36" s="11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2"/>
      <c r="G37" s="11"/>
      <c r="H37" s="15" t="str">
        <f aca="true">IF(OR(F37="",G37="Cerrada"),"",MAX(0,TODAY()-F37))</f>
        <v/>
      </c>
      <c r="I37" s="11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2"/>
      <c r="G38" s="11"/>
      <c r="H38" s="15" t="str">
        <f aca="true">IF(OR(F38="",G38="Cerrada"),"",MAX(0,TODAY()-F38))</f>
        <v/>
      </c>
      <c r="I38" s="11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2"/>
      <c r="G39" s="11"/>
      <c r="H39" s="15" t="str">
        <f aca="true">IF(OR(F39="",G39="Cerrada"),"",MAX(0,TODAY()-F39))</f>
        <v/>
      </c>
      <c r="I39" s="11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2"/>
      <c r="G40" s="11"/>
      <c r="H40" s="15" t="str">
        <f aca="true">IF(OR(F40="",G40="Cerrada"),"",MAX(0,TODAY()-F40))</f>
        <v/>
      </c>
      <c r="I40" s="11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2"/>
      <c r="G41" s="11"/>
      <c r="H41" s="15" t="str">
        <f aca="true">IF(OR(F41="",G41="Cerrada"),"",MAX(0,TODAY()-F41))</f>
        <v/>
      </c>
      <c r="I41" s="11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2"/>
      <c r="G42" s="11"/>
      <c r="H42" s="15" t="str">
        <f aca="true">IF(OR(F42="",G42="Cerrada"),"",MAX(0,TODAY()-F42))</f>
        <v/>
      </c>
      <c r="I42" s="11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2"/>
      <c r="G43" s="11"/>
      <c r="H43" s="15" t="str">
        <f aca="true">IF(OR(F43="",G43="Cerrada"),"",MAX(0,TODAY()-F43))</f>
        <v/>
      </c>
      <c r="I43" s="11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2"/>
      <c r="G44" s="11"/>
      <c r="H44" s="15" t="str">
        <f aca="true">IF(OR(F44="",G44="Cerrada"),"",MAX(0,TODAY()-F44))</f>
        <v/>
      </c>
      <c r="I44" s="11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2"/>
      <c r="G45" s="11"/>
      <c r="H45" s="15" t="str">
        <f aca="true">IF(OR(F45="",G45="Cerrada"),"",MAX(0,TODAY()-F45))</f>
        <v/>
      </c>
      <c r="I45" s="11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2"/>
      <c r="G46" s="11"/>
      <c r="H46" s="15" t="str">
        <f aca="true">IF(OR(F46="",G46="Cerrada"),"",MAX(0,TODAY()-F46))</f>
        <v/>
      </c>
      <c r="I46" s="11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2"/>
      <c r="G47" s="11"/>
      <c r="H47" s="15" t="str">
        <f aca="true">IF(OR(F47="",G47="Cerrada"),"",MAX(0,TODAY()-F47))</f>
        <v/>
      </c>
      <c r="I47" s="11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2"/>
      <c r="G48" s="11"/>
      <c r="H48" s="15" t="str">
        <f aca="true">IF(OR(F48="",G48="Cerrada"),"",MAX(0,TODAY()-F48))</f>
        <v/>
      </c>
      <c r="I48" s="11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2"/>
      <c r="G49" s="11"/>
      <c r="H49" s="15" t="str">
        <f aca="true">IF(OR(F49="",G49="Cerrada"),"",MAX(0,TODAY()-F49))</f>
        <v/>
      </c>
      <c r="I49" s="11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2"/>
      <c r="G50" s="11"/>
      <c r="H50" s="15" t="str">
        <f aca="true">IF(OR(F50="",G50="Cerrada"),"",MAX(0,TODAY()-F50))</f>
        <v/>
      </c>
      <c r="I50" s="11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2"/>
      <c r="G51" s="11"/>
      <c r="H51" s="15" t="str">
        <f aca="true">IF(OR(F51="",G51="Cerrada"),"",MAX(0,TODAY()-F51))</f>
        <v/>
      </c>
      <c r="I51" s="11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2"/>
      <c r="G52" s="11"/>
      <c r="H52" s="15" t="str">
        <f aca="true">IF(OR(F52="",G52="Cerrada"),"",MAX(0,TODAY()-F52))</f>
        <v/>
      </c>
      <c r="I52" s="11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2"/>
      <c r="G53" s="11"/>
      <c r="H53" s="15" t="str">
        <f aca="true">IF(OR(F53="",G53="Cerrada"),"",MAX(0,TODAY()-F53))</f>
        <v/>
      </c>
      <c r="I53" s="11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2"/>
      <c r="G54" s="11"/>
      <c r="H54" s="15" t="str">
        <f aca="true">IF(OR(F54="",G54="Cerrada"),"",MAX(0,TODAY()-F54))</f>
        <v/>
      </c>
      <c r="I54" s="11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2"/>
      <c r="G55" s="11"/>
      <c r="H55" s="15" t="str">
        <f aca="true">IF(OR(F55="",G55="Cerrada"),"",MAX(0,TODAY()-F55))</f>
        <v/>
      </c>
      <c r="I55" s="11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2"/>
      <c r="G56" s="11"/>
      <c r="H56" s="15" t="str">
        <f aca="true">IF(OR(F56="",G56="Cerrada"),"",MAX(0,TODAY()-F56))</f>
        <v/>
      </c>
      <c r="I56" s="11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2"/>
      <c r="G57" s="11"/>
      <c r="H57" s="15" t="str">
        <f aca="true">IF(OR(F57="",G57="Cerrada"),"",MAX(0,TODAY()-F57))</f>
        <v/>
      </c>
      <c r="I57" s="11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2"/>
      <c r="G58" s="11"/>
      <c r="H58" s="15" t="str">
        <f aca="true">IF(OR(F58="",G58="Cerrada"),"",MAX(0,TODAY()-F58))</f>
        <v/>
      </c>
      <c r="I58" s="11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2"/>
      <c r="G59" s="11"/>
      <c r="H59" s="15" t="str">
        <f aca="true">IF(OR(F59="",G59="Cerrada"),"",MAX(0,TODAY()-F59))</f>
        <v/>
      </c>
      <c r="I59" s="11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2"/>
      <c r="G60" s="11"/>
      <c r="H60" s="15" t="str">
        <f aca="true">IF(OR(F60="",G60="Cerrada"),"",MAX(0,TODAY()-F60))</f>
        <v/>
      </c>
      <c r="I60" s="11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2"/>
      <c r="G61" s="11"/>
      <c r="H61" s="15" t="str">
        <f aca="true">IF(OR(F61="",G61="Cerrada"),"",MAX(0,TODAY()-F61))</f>
        <v/>
      </c>
      <c r="I61" s="11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2"/>
      <c r="G62" s="11"/>
      <c r="H62" s="15" t="str">
        <f aca="true">IF(OR(F62="",G62="Cerrada"),"",MAX(0,TODAY()-F62))</f>
        <v/>
      </c>
      <c r="I62" s="11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2"/>
      <c r="G63" s="11"/>
      <c r="H63" s="15" t="str">
        <f aca="true">IF(OR(F63="",G63="Cerrada"),"",MAX(0,TODAY()-F63))</f>
        <v/>
      </c>
      <c r="I63" s="11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2"/>
      <c r="G64" s="11"/>
      <c r="H64" s="15" t="str">
        <f aca="true">IF(OR(F64="",G64="Cerrada"),"",MAX(0,TODAY()-F64))</f>
        <v/>
      </c>
      <c r="I64" s="11"/>
    </row>
  </sheetData>
  <autoFilter ref="A4:I64"/>
  <conditionalFormatting sqref="A5:I64">
    <cfRule type="expression" priority="2" aboveAverage="0" equalAverage="0" bottom="0" percent="0" rank="0" text="" dxfId="10">
      <formula>AND($F5&lt;&gt;"",$F5&lt;TODAY(),$G5&lt;&gt;"Cerrada",$G5&lt;&gt;"Cancelada")</formula>
    </cfRule>
  </conditionalFormatting>
  <dataValidations count="1">
    <dataValidation allowBlank="true" errorStyle="stop" operator="between" showDropDown="false" showErrorMessage="false" showInputMessage="false" sqref="G5:G64" type="list">
      <formula1>"Abierta,En proceso,Cerrada,Cancelada"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30" hidden="false" customHeight="true" outlineLevel="0" collapsed="false">
      <c r="A4" s="8" t="s">
        <v>40</v>
      </c>
      <c r="B4" s="8" t="s">
        <v>120</v>
      </c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</row>
    <row r="5" customFormat="false" ht="23.85" hidden="false" customHeight="false" outlineLevel="0" collapsed="false">
      <c r="A5" s="11" t="s">
        <v>149</v>
      </c>
      <c r="B5" s="12" t="n">
        <v>46303</v>
      </c>
      <c r="C5" s="11" t="s">
        <v>150</v>
      </c>
      <c r="D5" s="11" t="s">
        <v>151</v>
      </c>
      <c r="E5" s="11" t="s">
        <v>152</v>
      </c>
      <c r="F5" s="11" t="s">
        <v>153</v>
      </c>
      <c r="G5" s="11" t="s">
        <v>126</v>
      </c>
    </row>
    <row r="6" customFormat="false" ht="15" hidden="false" customHeight="false" outlineLevel="0" collapsed="false">
      <c r="A6" s="11"/>
      <c r="B6" s="12"/>
      <c r="C6" s="11"/>
      <c r="D6" s="11"/>
      <c r="E6" s="11"/>
      <c r="F6" s="11"/>
      <c r="G6" s="11"/>
    </row>
    <row r="7" customFormat="false" ht="15" hidden="false" customHeight="false" outlineLevel="0" collapsed="false">
      <c r="A7" s="11"/>
      <c r="B7" s="12"/>
      <c r="C7" s="11"/>
      <c r="D7" s="11"/>
      <c r="E7" s="11"/>
      <c r="F7" s="11"/>
      <c r="G7" s="11"/>
    </row>
    <row r="8" customFormat="false" ht="15" hidden="false" customHeight="false" outlineLevel="0" collapsed="false">
      <c r="A8" s="11"/>
      <c r="B8" s="12"/>
      <c r="C8" s="11"/>
      <c r="D8" s="11"/>
      <c r="E8" s="11"/>
      <c r="F8" s="11"/>
      <c r="G8" s="11"/>
    </row>
    <row r="9" customFormat="false" ht="15" hidden="false" customHeight="false" outlineLevel="0" collapsed="false">
      <c r="A9" s="11"/>
      <c r="B9" s="12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/>
      <c r="B10" s="12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/>
      <c r="B11" s="12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/>
      <c r="B12" s="12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1"/>
      <c r="G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11" min="3" style="0" width="12"/>
    <col collapsed="false" customWidth="true" hidden="false" outlineLevel="0" max="12" min="12" style="0" width="6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45" hidden="false" customHeight="true" outlineLevel="0" collapsed="false">
      <c r="A4" s="8" t="s">
        <v>156</v>
      </c>
      <c r="B4" s="8" t="s">
        <v>157</v>
      </c>
      <c r="C4" s="8" t="s">
        <v>158</v>
      </c>
      <c r="D4" s="8" t="s">
        <v>159</v>
      </c>
      <c r="E4" s="8" t="s">
        <v>100</v>
      </c>
      <c r="F4" s="8" t="s">
        <v>160</v>
      </c>
      <c r="G4" s="8" t="s">
        <v>161</v>
      </c>
      <c r="H4" s="8" t="s">
        <v>162</v>
      </c>
      <c r="I4" s="8" t="s">
        <v>163</v>
      </c>
      <c r="J4" s="8" t="s">
        <v>164</v>
      </c>
      <c r="K4" s="8" t="s">
        <v>165</v>
      </c>
      <c r="L4" s="8" t="s">
        <v>166</v>
      </c>
      <c r="M4" s="8" t="s">
        <v>167</v>
      </c>
    </row>
    <row r="5" customFormat="false" ht="15" hidden="false" customHeight="false" outlineLevel="0" collapsed="false">
      <c r="A5" s="11" t="s">
        <v>168</v>
      </c>
      <c r="B5" s="11" t="s">
        <v>169</v>
      </c>
      <c r="C5" s="16" t="s">
        <v>170</v>
      </c>
      <c r="D5" s="16" t="s">
        <v>171</v>
      </c>
      <c r="E5" s="16" t="s">
        <v>172</v>
      </c>
      <c r="F5" s="16" t="s">
        <v>172</v>
      </c>
      <c r="G5" s="16" t="s">
        <v>173</v>
      </c>
      <c r="H5" s="16" t="s">
        <v>173</v>
      </c>
      <c r="I5" s="16"/>
      <c r="J5" s="16"/>
      <c r="K5" s="16"/>
      <c r="L5" s="17" t="n">
        <f aca="false">COUNTIF(C5:K5,"A")</f>
        <v>1</v>
      </c>
      <c r="M5" s="18" t="str">
        <f aca="false">IF(AND(L5=1,COUNTIF(C5:K5,"R")&gt;=1),"OK","Revisar")</f>
        <v>OK</v>
      </c>
    </row>
    <row r="6" customFormat="false" ht="15" hidden="false" customHeight="false" outlineLevel="0" collapsed="false">
      <c r="A6" s="11" t="s">
        <v>168</v>
      </c>
      <c r="B6" s="11" t="s">
        <v>174</v>
      </c>
      <c r="C6" s="16" t="s">
        <v>170</v>
      </c>
      <c r="D6" s="16" t="s">
        <v>171</v>
      </c>
      <c r="E6" s="16" t="s">
        <v>172</v>
      </c>
      <c r="F6" s="16" t="s">
        <v>172</v>
      </c>
      <c r="G6" s="16" t="s">
        <v>173</v>
      </c>
      <c r="H6" s="16" t="s">
        <v>173</v>
      </c>
      <c r="I6" s="16"/>
      <c r="J6" s="16"/>
      <c r="K6" s="16"/>
      <c r="L6" s="17" t="n">
        <f aca="false">COUNTIF(C6:K6,"A")</f>
        <v>1</v>
      </c>
      <c r="M6" s="18" t="str">
        <f aca="false">IF(AND(L6=1,COUNTIF(C6:K6,"R")&gt;=1),"OK","Revisar")</f>
        <v>OK</v>
      </c>
    </row>
    <row r="7" customFormat="false" ht="15" hidden="false" customHeight="false" outlineLevel="0" collapsed="false">
      <c r="A7" s="11" t="s">
        <v>168</v>
      </c>
      <c r="B7" s="11" t="s">
        <v>175</v>
      </c>
      <c r="C7" s="16" t="s">
        <v>170</v>
      </c>
      <c r="D7" s="16" t="s">
        <v>171</v>
      </c>
      <c r="E7" s="16" t="s">
        <v>171</v>
      </c>
      <c r="F7" s="16" t="s">
        <v>172</v>
      </c>
      <c r="G7" s="16" t="s">
        <v>173</v>
      </c>
      <c r="H7" s="16" t="s">
        <v>173</v>
      </c>
      <c r="I7" s="16" t="s">
        <v>173</v>
      </c>
      <c r="J7" s="16" t="s">
        <v>172</v>
      </c>
      <c r="K7" s="16"/>
      <c r="L7" s="17" t="n">
        <f aca="false">COUNTIF(C7:K7,"A")</f>
        <v>1</v>
      </c>
      <c r="M7" s="18" t="str">
        <f aca="false">IF(AND(L7=1,COUNTIF(C7:K7,"R")&gt;=1),"OK","Revisar")</f>
        <v>OK</v>
      </c>
    </row>
    <row r="8" customFormat="false" ht="15" hidden="false" customHeight="false" outlineLevel="0" collapsed="false">
      <c r="A8" s="11" t="s">
        <v>176</v>
      </c>
      <c r="B8" s="11" t="s">
        <v>177</v>
      </c>
      <c r="C8" s="16" t="s">
        <v>173</v>
      </c>
      <c r="D8" s="16" t="s">
        <v>170</v>
      </c>
      <c r="E8" s="16" t="s">
        <v>171</v>
      </c>
      <c r="F8" s="16" t="s">
        <v>172</v>
      </c>
      <c r="G8" s="16" t="s">
        <v>173</v>
      </c>
      <c r="H8" s="16" t="s">
        <v>173</v>
      </c>
      <c r="I8" s="16"/>
      <c r="J8" s="16"/>
      <c r="K8" s="16"/>
      <c r="L8" s="17" t="n">
        <f aca="false">COUNTIF(C8:K8,"A")</f>
        <v>1</v>
      </c>
      <c r="M8" s="18" t="str">
        <f aca="false">IF(AND(L8=1,COUNTIF(C8:K8,"R")&gt;=1),"OK","Revisar")</f>
        <v>OK</v>
      </c>
    </row>
    <row r="9" customFormat="false" ht="15" hidden="false" customHeight="false" outlineLevel="0" collapsed="false">
      <c r="A9" s="11" t="s">
        <v>176</v>
      </c>
      <c r="B9" s="11" t="s">
        <v>178</v>
      </c>
      <c r="C9" s="16" t="s">
        <v>170</v>
      </c>
      <c r="D9" s="16" t="s">
        <v>171</v>
      </c>
      <c r="E9" s="16" t="s">
        <v>171</v>
      </c>
      <c r="F9" s="16" t="s">
        <v>172</v>
      </c>
      <c r="G9" s="16" t="s">
        <v>172</v>
      </c>
      <c r="H9" s="16" t="s">
        <v>172</v>
      </c>
      <c r="I9" s="16"/>
      <c r="J9" s="16"/>
      <c r="K9" s="16"/>
      <c r="L9" s="17" t="n">
        <f aca="false">COUNTIF(C9:K9,"A")</f>
        <v>1</v>
      </c>
      <c r="M9" s="18" t="str">
        <f aca="false">IF(AND(L9=1,COUNTIF(C9:K9,"R")&gt;=1),"OK","Revisar")</f>
        <v>OK</v>
      </c>
    </row>
    <row r="10" customFormat="false" ht="15" hidden="false" customHeight="false" outlineLevel="0" collapsed="false">
      <c r="A10" s="11" t="s">
        <v>179</v>
      </c>
      <c r="B10" s="11" t="s">
        <v>180</v>
      </c>
      <c r="C10" s="16" t="s">
        <v>173</v>
      </c>
      <c r="D10" s="16" t="s">
        <v>170</v>
      </c>
      <c r="E10" s="16" t="s">
        <v>172</v>
      </c>
      <c r="F10" s="16" t="s">
        <v>171</v>
      </c>
      <c r="G10" s="16" t="s">
        <v>171</v>
      </c>
      <c r="H10" s="16" t="s">
        <v>172</v>
      </c>
      <c r="I10" s="16"/>
      <c r="J10" s="16"/>
      <c r="K10" s="16"/>
      <c r="L10" s="17" t="n">
        <f aca="false">COUNTIF(C10:K10,"A")</f>
        <v>1</v>
      </c>
      <c r="M10" s="18" t="str">
        <f aca="false">IF(AND(L10=1,COUNTIF(C10:K10,"R")&gt;=1),"OK","Revisar")</f>
        <v>OK</v>
      </c>
    </row>
    <row r="11" customFormat="false" ht="15" hidden="false" customHeight="false" outlineLevel="0" collapsed="false">
      <c r="A11" s="11" t="s">
        <v>181</v>
      </c>
      <c r="B11" s="11" t="s">
        <v>182</v>
      </c>
      <c r="C11" s="16" t="s">
        <v>173</v>
      </c>
      <c r="D11" s="16" t="s">
        <v>170</v>
      </c>
      <c r="E11" s="16" t="s">
        <v>172</v>
      </c>
      <c r="F11" s="16" t="s">
        <v>171</v>
      </c>
      <c r="G11" s="16" t="s">
        <v>172</v>
      </c>
      <c r="H11" s="16" t="s">
        <v>172</v>
      </c>
      <c r="I11" s="16" t="s">
        <v>173</v>
      </c>
      <c r="J11" s="16"/>
      <c r="K11" s="16"/>
      <c r="L11" s="17" t="n">
        <f aca="false">COUNTIF(C11:K11,"A")</f>
        <v>1</v>
      </c>
      <c r="M11" s="18" t="str">
        <f aca="false">IF(AND(L11=1,COUNTIF(C11:K11,"R")&gt;=1),"OK","Revisar")</f>
        <v>OK</v>
      </c>
    </row>
    <row r="12" customFormat="false" ht="15" hidden="false" customHeight="false" outlineLevel="0" collapsed="false">
      <c r="A12" s="11" t="s">
        <v>181</v>
      </c>
      <c r="B12" s="11" t="s">
        <v>183</v>
      </c>
      <c r="C12" s="16" t="s">
        <v>173</v>
      </c>
      <c r="D12" s="16" t="s">
        <v>172</v>
      </c>
      <c r="E12" s="16" t="s">
        <v>173</v>
      </c>
      <c r="F12" s="16" t="s">
        <v>171</v>
      </c>
      <c r="G12" s="16" t="s">
        <v>172</v>
      </c>
      <c r="H12" s="16" t="s">
        <v>170</v>
      </c>
      <c r="I12" s="16" t="s">
        <v>173</v>
      </c>
      <c r="J12" s="16"/>
      <c r="K12" s="16"/>
      <c r="L12" s="17" t="n">
        <f aca="false">COUNTIF(C12:K12,"A")</f>
        <v>1</v>
      </c>
      <c r="M12" s="18" t="str">
        <f aca="false">IF(AND(L12=1,COUNTIF(C12:K12,"R")&gt;=1),"OK","Revisar")</f>
        <v>OK</v>
      </c>
    </row>
    <row r="13" customFormat="false" ht="15" hidden="false" customHeight="false" outlineLevel="0" collapsed="false">
      <c r="A13" s="11" t="s">
        <v>181</v>
      </c>
      <c r="B13" s="11" t="s">
        <v>184</v>
      </c>
      <c r="C13" s="16" t="s">
        <v>170</v>
      </c>
      <c r="D13" s="16" t="s">
        <v>171</v>
      </c>
      <c r="E13" s="16" t="s">
        <v>172</v>
      </c>
      <c r="F13" s="16" t="s">
        <v>172</v>
      </c>
      <c r="G13" s="16" t="s">
        <v>172</v>
      </c>
      <c r="H13" s="16" t="s">
        <v>172</v>
      </c>
      <c r="I13" s="16"/>
      <c r="J13" s="16" t="s">
        <v>171</v>
      </c>
      <c r="K13" s="16"/>
      <c r="L13" s="17" t="n">
        <f aca="false">COUNTIF(C13:K13,"A")</f>
        <v>1</v>
      </c>
      <c r="M13" s="18" t="str">
        <f aca="false">IF(AND(L13=1,COUNTIF(C13:K13,"R")&gt;=1),"OK","Revisar")</f>
        <v>OK</v>
      </c>
    </row>
    <row r="14" customFormat="false" ht="15" hidden="false" customHeight="false" outlineLevel="0" collapsed="false">
      <c r="A14" s="11" t="s">
        <v>185</v>
      </c>
      <c r="B14" s="11" t="s">
        <v>186</v>
      </c>
      <c r="C14" s="16" t="s">
        <v>173</v>
      </c>
      <c r="D14" s="16" t="s">
        <v>170</v>
      </c>
      <c r="E14" s="16" t="s">
        <v>173</v>
      </c>
      <c r="F14" s="16" t="s">
        <v>171</v>
      </c>
      <c r="G14" s="16" t="s">
        <v>172</v>
      </c>
      <c r="H14" s="16" t="s">
        <v>172</v>
      </c>
      <c r="I14" s="16"/>
      <c r="J14" s="16"/>
      <c r="K14" s="16"/>
      <c r="L14" s="17" t="n">
        <f aca="false">COUNTIF(C14:K14,"A")</f>
        <v>1</v>
      </c>
      <c r="M14" s="18" t="str">
        <f aca="false">IF(AND(L14=1,COUNTIF(C14:K14,"R")&gt;=1),"OK","Revisar")</f>
        <v>OK</v>
      </c>
    </row>
    <row r="15" customFormat="false" ht="15" hidden="false" customHeight="false" outlineLevel="0" collapsed="false">
      <c r="A15" s="11" t="s">
        <v>187</v>
      </c>
      <c r="B15" s="11" t="s">
        <v>188</v>
      </c>
      <c r="C15" s="16" t="s">
        <v>173</v>
      </c>
      <c r="D15" s="16" t="s">
        <v>170</v>
      </c>
      <c r="E15" s="16" t="s">
        <v>172</v>
      </c>
      <c r="F15" s="16" t="s">
        <v>171</v>
      </c>
      <c r="G15" s="16" t="s">
        <v>171</v>
      </c>
      <c r="H15" s="16" t="s">
        <v>172</v>
      </c>
      <c r="I15" s="16" t="s">
        <v>172</v>
      </c>
      <c r="J15" s="16"/>
      <c r="K15" s="16" t="s">
        <v>171</v>
      </c>
      <c r="L15" s="17" t="n">
        <f aca="false">COUNTIF(C15:K15,"A")</f>
        <v>1</v>
      </c>
      <c r="M15" s="18" t="str">
        <f aca="false">IF(AND(L15=1,COUNTIF(C15:K15,"R")&gt;=1),"OK","Revisar")</f>
        <v>OK</v>
      </c>
    </row>
    <row r="16" customFormat="false" ht="15" hidden="false" customHeight="false" outlineLevel="0" collapsed="false">
      <c r="A16" s="11" t="s">
        <v>187</v>
      </c>
      <c r="B16" s="11" t="s">
        <v>189</v>
      </c>
      <c r="C16" s="16" t="s">
        <v>170</v>
      </c>
      <c r="D16" s="16" t="s">
        <v>171</v>
      </c>
      <c r="E16" s="16" t="s">
        <v>172</v>
      </c>
      <c r="F16" s="16" t="s">
        <v>172</v>
      </c>
      <c r="G16" s="16" t="s">
        <v>172</v>
      </c>
      <c r="H16" s="16" t="s">
        <v>172</v>
      </c>
      <c r="I16" s="16" t="s">
        <v>172</v>
      </c>
      <c r="J16" s="16"/>
      <c r="K16" s="16" t="s">
        <v>173</v>
      </c>
      <c r="L16" s="17" t="n">
        <f aca="false">COUNTIF(C16:K16,"A")</f>
        <v>1</v>
      </c>
      <c r="M16" s="18" t="str">
        <f aca="false">IF(AND(L16=1,COUNTIF(C16:K16,"R")&gt;=1),"OK","Revisar")</f>
        <v>OK</v>
      </c>
    </row>
    <row r="17" customFormat="false" ht="15" hidden="false" customHeight="false" outlineLevel="0" collapsed="false">
      <c r="A17" s="11" t="s">
        <v>190</v>
      </c>
      <c r="B17" s="11" t="s">
        <v>191</v>
      </c>
      <c r="C17" s="16" t="s">
        <v>173</v>
      </c>
      <c r="D17" s="16" t="s">
        <v>170</v>
      </c>
      <c r="E17" s="16" t="s">
        <v>172</v>
      </c>
      <c r="F17" s="16" t="s">
        <v>171</v>
      </c>
      <c r="G17" s="16" t="s">
        <v>171</v>
      </c>
      <c r="H17" s="16" t="s">
        <v>173</v>
      </c>
      <c r="I17" s="16" t="s">
        <v>172</v>
      </c>
      <c r="J17" s="16"/>
      <c r="K17" s="16" t="s">
        <v>173</v>
      </c>
      <c r="L17" s="17" t="n">
        <f aca="false">COUNTIF(C17:K17,"A")</f>
        <v>1</v>
      </c>
      <c r="M17" s="18" t="str">
        <f aca="false">IF(AND(L17=1,COUNTIF(C17:K17,"R")&gt;=1),"OK","Revisar")</f>
        <v>OK</v>
      </c>
    </row>
    <row r="18" customFormat="false" ht="15" hidden="false" customHeight="false" outlineLevel="0" collapsed="false">
      <c r="A18" s="11" t="s">
        <v>83</v>
      </c>
      <c r="B18" s="11" t="s">
        <v>192</v>
      </c>
      <c r="C18" s="16" t="s">
        <v>173</v>
      </c>
      <c r="D18" s="16" t="s">
        <v>170</v>
      </c>
      <c r="E18" s="16" t="s">
        <v>172</v>
      </c>
      <c r="F18" s="16" t="s">
        <v>171</v>
      </c>
      <c r="G18" s="16" t="s">
        <v>172</v>
      </c>
      <c r="H18" s="16"/>
      <c r="I18" s="16" t="s">
        <v>171</v>
      </c>
      <c r="J18" s="16"/>
      <c r="K18" s="16"/>
      <c r="L18" s="17" t="n">
        <f aca="false">COUNTIF(C18:K18,"A")</f>
        <v>1</v>
      </c>
      <c r="M18" s="18" t="str">
        <f aca="false">IF(AND(L18=1,COUNTIF(C18:K18,"R")&gt;=1),"OK","Revisar")</f>
        <v>OK</v>
      </c>
    </row>
    <row r="19" customFormat="false" ht="15" hidden="false" customHeight="false" outlineLevel="0" collapsed="false">
      <c r="A19" s="11" t="s">
        <v>193</v>
      </c>
      <c r="B19" s="11" t="s">
        <v>194</v>
      </c>
      <c r="C19" s="16" t="s">
        <v>173</v>
      </c>
      <c r="D19" s="16" t="s">
        <v>170</v>
      </c>
      <c r="E19" s="16" t="s">
        <v>172</v>
      </c>
      <c r="F19" s="16" t="s">
        <v>171</v>
      </c>
      <c r="G19" s="16" t="s">
        <v>171</v>
      </c>
      <c r="H19" s="16" t="s">
        <v>172</v>
      </c>
      <c r="I19" s="16" t="s">
        <v>172</v>
      </c>
      <c r="J19" s="16"/>
      <c r="K19" s="16"/>
      <c r="L19" s="17" t="n">
        <f aca="false">COUNTIF(C19:K19,"A")</f>
        <v>1</v>
      </c>
      <c r="M19" s="18" t="str">
        <f aca="false">IF(AND(L19=1,COUNTIF(C19:K19,"R")&gt;=1),"OK","Revisar")</f>
        <v>OK</v>
      </c>
    </row>
    <row r="20" customFormat="false" ht="15" hidden="false" customHeight="false" outlineLevel="0" collapsed="false">
      <c r="A20" s="11" t="s">
        <v>193</v>
      </c>
      <c r="B20" s="11" t="s">
        <v>195</v>
      </c>
      <c r="C20" s="16" t="s">
        <v>170</v>
      </c>
      <c r="D20" s="16" t="s">
        <v>171</v>
      </c>
      <c r="E20" s="16" t="s">
        <v>171</v>
      </c>
      <c r="F20" s="16" t="s">
        <v>172</v>
      </c>
      <c r="G20" s="16" t="s">
        <v>172</v>
      </c>
      <c r="H20" s="16" t="s">
        <v>172</v>
      </c>
      <c r="I20" s="16" t="s">
        <v>172</v>
      </c>
      <c r="J20" s="16"/>
      <c r="K20" s="16"/>
      <c r="L20" s="17" t="n">
        <f aca="false">COUNTIF(C20:K20,"A")</f>
        <v>1</v>
      </c>
      <c r="M20" s="18" t="str">
        <f aca="false">IF(AND(L20=1,COUNTIF(C20:K20,"R")&gt;=1),"OK","Revisar")</f>
        <v>OK</v>
      </c>
    </row>
    <row r="21" customFormat="false" ht="15" hidden="false" customHeight="false" outlineLevel="0" collapsed="false">
      <c r="A21" s="11"/>
      <c r="B21" s="11"/>
      <c r="C21" s="16"/>
      <c r="D21" s="16"/>
      <c r="E21" s="16"/>
      <c r="F21" s="16"/>
      <c r="G21" s="16"/>
      <c r="H21" s="16"/>
      <c r="I21" s="16"/>
      <c r="J21" s="16"/>
      <c r="K21" s="16"/>
      <c r="L21" s="17" t="str">
        <f aca="false">IF(COUNTA(B21)=0,"",COUNTIF(C21:K21,"A"))</f>
        <v/>
      </c>
      <c r="M21" s="18" t="str">
        <f aca="false">IF(B21="","",IF(AND(L21=1,COUNTIF(C21:K21,"R")&gt;=1),"OK","Revisar"))</f>
        <v/>
      </c>
    </row>
    <row r="22" customFormat="false" ht="15" hidden="false" customHeight="false" outlineLevel="0" collapsed="false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aca="false">IF(COUNTA(B22)=0,"",COUNTIF(C22:K22,"A"))</f>
        <v/>
      </c>
      <c r="M22" s="18" t="str">
        <f aca="false">IF(B22="","",IF(AND(L22=1,COUNTIF(C22:K22,"R")&gt;=1),"OK","Revisar"))</f>
        <v/>
      </c>
    </row>
    <row r="23" customFormat="false" ht="15" hidden="false" customHeight="false" outlineLevel="0" collapsed="false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7" t="str">
        <f aca="false">IF(COUNTA(B23)=0,"",COUNTIF(C23:K23,"A"))</f>
        <v/>
      </c>
      <c r="M23" s="18" t="str">
        <f aca="false">IF(B23="","",IF(AND(L23=1,COUNTIF(C23:K23,"R")&gt;=1),"OK","Revisar"))</f>
        <v/>
      </c>
    </row>
    <row r="24" customFormat="false" ht="15" hidden="false" customHeight="false" outlineLevel="0" collapsed="false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aca="false">IF(COUNTA(B24)=0,"",COUNTIF(C24:K24,"A"))</f>
        <v/>
      </c>
      <c r="M24" s="18" t="str">
        <f aca="false">IF(B24="","",IF(AND(L24=1,COUNTIF(C24:K24,"R")&gt;=1),"OK","Revisar"))</f>
        <v/>
      </c>
    </row>
    <row r="25" customFormat="false" ht="15" hidden="false" customHeight="false" outlineLevel="0" collapsed="false">
      <c r="A25" s="11"/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7" t="str">
        <f aca="false">IF(COUNTA(B25)=0,"",COUNTIF(C25:K25,"A"))</f>
        <v/>
      </c>
      <c r="M25" s="18" t="str">
        <f aca="false">IF(B25="","",IF(AND(L25=1,COUNTIF(C25:K25,"R")&gt;=1),"OK","Revisar"))</f>
        <v/>
      </c>
    </row>
    <row r="26" customFormat="false" ht="15" hidden="false" customHeight="false" outlineLevel="0" collapsed="false">
      <c r="A26" s="11"/>
      <c r="B26" s="11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aca="false">IF(COUNTA(B26)=0,"",COUNTIF(C26:K26,"A"))</f>
        <v/>
      </c>
      <c r="M26" s="18" t="str">
        <f aca="false">IF(B26="","",IF(AND(L26=1,COUNTIF(C26:K26,"R")&gt;=1),"OK","Revisar"))</f>
        <v/>
      </c>
    </row>
    <row r="27" customFormat="false" ht="15" hidden="false" customHeight="false" outlineLevel="0" collapsed="false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7" t="str">
        <f aca="false">IF(COUNTA(B27)=0,"",COUNTIF(C27:K27,"A"))</f>
        <v/>
      </c>
      <c r="M27" s="18" t="str">
        <f aca="false">IF(B27="","",IF(AND(L27=1,COUNTIF(C27:K27,"R")&gt;=1),"OK","Revisar"))</f>
        <v/>
      </c>
    </row>
    <row r="28" customFormat="false" ht="15" hidden="false" customHeight="false" outlineLevel="0" collapsed="false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aca="false">IF(COUNTA(B28)=0,"",COUNTIF(C28:K28,"A"))</f>
        <v/>
      </c>
      <c r="M28" s="18" t="str">
        <f aca="false">IF(B28="","",IF(AND(L28=1,COUNTIF(C28:K28,"R")&gt;=1),"OK","Revisar"))</f>
        <v/>
      </c>
    </row>
    <row r="29" customFormat="false" ht="15" hidden="false" customHeight="false" outlineLevel="0" collapsed="false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7" t="str">
        <f aca="false">IF(COUNTA(B29)=0,"",COUNTIF(C29:K29,"A"))</f>
        <v/>
      </c>
      <c r="M29" s="18" t="str">
        <f aca="false">IF(B29="","",IF(AND(L29=1,COUNTIF(C29:K29,"R")&gt;=1),"OK","Revisar"))</f>
        <v/>
      </c>
    </row>
    <row r="30" customFormat="false" ht="15" hidden="false" customHeight="false" outlineLevel="0" collapsed="false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aca="false">IF(COUNTA(B30)=0,"",COUNTIF(C30:K30,"A"))</f>
        <v/>
      </c>
      <c r="M30" s="18" t="str">
        <f aca="false">IF(B30="","",IF(AND(L30=1,COUNTIF(C30:K30,"R")&gt;=1),"OK","Revisar"))</f>
        <v/>
      </c>
    </row>
  </sheetData>
  <conditionalFormatting sqref="C5:K30">
    <cfRule type="cellIs" priority="2" operator="equal" aboveAverage="0" equalAverage="0" bottom="0" percent="0" rank="0" text="" dxfId="11">
      <formula>"A"</formula>
    </cfRule>
    <cfRule type="cellIs" priority="3" operator="equal" aboveAverage="0" equalAverage="0" bottom="0" percent="0" rank="0" text="" dxfId="12">
      <formula>"R"</formula>
    </cfRule>
    <cfRule type="cellIs" priority="4" operator="equal" aboveAverage="0" equalAverage="0" bottom="0" percent="0" rank="0" text="" dxfId="13">
      <formula>"C"</formula>
    </cfRule>
    <cfRule type="cellIs" priority="5" operator="equal" aboveAverage="0" equalAverage="0" bottom="0" percent="0" rank="0" text="" dxfId="14">
      <formula>"I"</formula>
    </cfRule>
  </conditionalFormatting>
  <conditionalFormatting sqref="M5:M30">
    <cfRule type="cellIs" priority="6" operator="equal" aboveAverage="0" equalAverage="0" bottom="0" percent="0" rank="0" text="" dxfId="10">
      <formula>"Revisar"</formula>
    </cfRule>
  </conditionalFormatting>
  <dataValidations count="1">
    <dataValidation allowBlank="true" errorStyle="stop" operator="between" showDropDown="false" showErrorMessage="false" showInputMessage="false" sqref="C5:K30" type="list">
      <formula1>"R,A,C,I,A/R"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2026-10-08T05:34:31Z</dcterms:created>
  <dc:creator>openpyxl</dc:creator>
  <dc:description/>
  <dc:language>en-US</dc:language>
  <cp:lastModifiedBy/>
  <dcterms:modified xsi:type="dcterms:W3CDTF">2026-10-08T05:34:31Z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