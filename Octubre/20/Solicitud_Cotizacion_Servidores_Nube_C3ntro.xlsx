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iguelangeluribebecerra/Downloads/"/>
    </mc:Choice>
  </mc:AlternateContent>
  <xr:revisionPtr revIDLastSave="0" documentId="11_63EDD8ECE628907D754DF8EE9738A863EC979EDD" xr6:coauthVersionLast="47" xr6:coauthVersionMax="47" xr10:uidLastSave="{00000000-0000-0000-0000-000000000000}"/>
  <bookViews>
    <workbookView xWindow="-64260" yWindow="4980" windowWidth="33000" windowHeight="19480" tabRatio="500" xr2:uid="{00000000-000D-0000-FFFF-FFFF00000000}"/>
  </bookViews>
  <sheets>
    <sheet name="Instrucciones" sheetId="1" r:id="rId1"/>
    <sheet name="Requerimiento" sheetId="2" r:id="rId2"/>
    <sheet name="Alcance" sheetId="3" r:id="rId3"/>
    <sheet name="Cotización" sheetId="4" r:id="rId4"/>
    <sheet name="Pregun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4" l="1"/>
  <c r="D33" i="4" s="1"/>
  <c r="E19" i="4"/>
  <c r="C33" i="4" s="1"/>
  <c r="D19" i="4"/>
  <c r="C32" i="4" s="1"/>
  <c r="C19" i="4"/>
  <c r="C31" i="4" s="1"/>
  <c r="E32" i="4" l="1"/>
  <c r="F32" i="4" s="1"/>
  <c r="E33" i="4"/>
  <c r="F33" i="4" s="1"/>
  <c r="D31" i="4"/>
  <c r="E31" i="4" s="1"/>
  <c r="F31" i="4" s="1"/>
  <c r="D32" i="4"/>
</calcChain>
</file>

<file path=xl/sharedStrings.xml><?xml version="1.0" encoding="utf-8"?>
<sst xmlns="http://schemas.openxmlformats.org/spreadsheetml/2006/main" count="197" uniqueCount="176">
  <si>
    <t>Solicitud de cotización · Habilitación de 3 servidores en la nube</t>
  </si>
  <si>
    <t>APE Plazas · Dirección de Tecnologías de la Información</t>
  </si>
  <si>
    <t>Cliente</t>
  </si>
  <si>
    <t>APE Plazas</t>
  </si>
  <si>
    <t>Proveedor</t>
  </si>
  <si>
    <t>C3ntro</t>
  </si>
  <si>
    <t>Solicita</t>
  </si>
  <si>
    <t>Miguel Ángel Uribe Becerra · Dirección de Tecnologías de la Información</t>
  </si>
  <si>
    <t>Correo</t>
  </si>
  <si>
    <t>muribeb@apeplazas.com</t>
  </si>
  <si>
    <t>Fecha de solicitud</t>
  </si>
  <si>
    <t>Fecha límite de respuesta</t>
  </si>
  <si>
    <t>Objetivo</t>
  </si>
  <si>
    <t>Sustituir por obsolescencia los servidores físicos actuales del site corporativo y llevar sus servicios a la nube, separando las cargas en 3 servidores dedicados. Se busca comparar esta opción contra la compra de 3 servidores físicos.</t>
  </si>
  <si>
    <t>Servicios actuales con C3ntro</t>
  </si>
  <si>
    <t>Microsoft 365 / Copilot, Azure (2 servidores) y enlace dedicado corporativo de 600 MB. La propuesta puede integrarse a la suscripción de Azure existente o a otra nube de C3ntro; indicar cuál se propone.</t>
  </si>
  <si>
    <t>Cómo responder</t>
  </si>
  <si>
    <t>1. Revisar los 3 servidores y sus aplicaciones (hoja Requerimiento). Las especificaciones son de referencia: proponer el dimensionamiento adecuado (right-sizing) y justificarlo.</t>
  </si>
  <si>
    <t>2. Confirmar el alcance de servicios incluidos (hoja Alcance): marcar Sí / No / Opcional en la columna amarilla y comentar.</t>
  </si>
  <si>
    <t>3. Llenar precios en la hoja Cotización (celdas amarillas). Los totales se calculan solos.</t>
  </si>
  <si>
    <t>4. Responder las preguntas técnicas (hoja Preguntas).</t>
  </si>
  <si>
    <t>5. Cotizar dos modalidades: pago por uso (mensual) y con reserva a 1 y 3 años. Precios sin IVA, indicando moneda y tipo de cambio si es USD.</t>
  </si>
  <si>
    <t>6. Anexar ficha técnica de la propuesta, SLA, matriz de responsabilidades y plan de migración.</t>
  </si>
  <si>
    <t>Requerimiento técnico por servidor</t>
  </si>
  <si>
    <t>Especificación de referencia = configuración física evaluada (1U, Xeon 8 núcleos, 32 GB, 2×960 GB SSD en RAID 1). Completar el uso actual (columnas amarillas de la sección 2) antes de enviar.</t>
  </si>
  <si>
    <t>Concepto</t>
  </si>
  <si>
    <t>Servidor 1</t>
  </si>
  <si>
    <t>Servidor 2</t>
  </si>
  <si>
    <t>Servidor 3</t>
  </si>
  <si>
    <t>Función</t>
  </si>
  <si>
    <t>Banca electrónica host-to-host</t>
  </si>
  <si>
    <t>Control de acceso y control fiscal</t>
  </si>
  <si>
    <t>Servicios de red e impresión</t>
  </si>
  <si>
    <t>Aplicaciones</t>
  </si>
  <si>
    <t>HSBC H2H 1.5 (servicio dedicado)</t>
  </si>
  <si>
    <t>ZK BioSecurity (control de acceso biométrico) y Control Fiscal 2000 (servidor de aplicaciones)</t>
  </si>
  <si>
    <t>Controlador Wi-Fi de plazas, PCounter (administración de impresión) y NetViewer</t>
  </si>
  <si>
    <t>Sistema operativo</t>
  </si>
  <si>
    <t>Linux (distribución a confirmar por APE; proponer soportada)</t>
  </si>
  <si>
    <t>Windows Server 2025 Standard</t>
  </si>
  <si>
    <t>Licenciamiento SO</t>
  </si>
  <si>
    <t>Incluido / sin costo (indicar si aplica suscripción)</t>
  </si>
  <si>
    <t>Incluir licencia en la nube (no se cuenta con licencia propia trasladable)</t>
  </si>
  <si>
    <t>vCPU de referencia</t>
  </si>
  <si>
    <t>8</t>
  </si>
  <si>
    <t>RAM de referencia</t>
  </si>
  <si>
    <t>32 GB</t>
  </si>
  <si>
    <t>Almacenamiento de referencia</t>
  </si>
  <si>
    <t>960 GB SSD (disco administrado premium o equivalente)</t>
  </si>
  <si>
    <t>Criticidad</t>
  </si>
  <si>
    <t>Alta: pagos y conciliación bancaria</t>
  </si>
  <si>
    <t>Alta: acceso a plazas y operación fiscal</t>
  </si>
  <si>
    <t>Media: Wi-Fi e impresión de plazas y corporativo</t>
  </si>
  <si>
    <t>Horario de operación</t>
  </si>
  <si>
    <t>24×7</t>
  </si>
  <si>
    <t>Conectividad requerida</t>
  </si>
  <si>
    <t>IP pública fija registrada ante HSBC; comunicación SFTP/HTTPS segura con el banco</t>
  </si>
  <si>
    <t>Comunicación con lectores biométricos y equipos de las plazas (vía VPN)</t>
  </si>
  <si>
    <t>Comunicación con antenas Wi-Fi e impresoras de corporativo y plazas (vía VPN)</t>
  </si>
  <si>
    <t>Consideraciones</t>
  </si>
  <si>
    <t>Requisitos de seguridad del banco (certificados, lista blanca de IP). La migración debe coordinarse con HSBC.</t>
  </si>
  <si>
    <t>Validar compatibilidad de ZK BioSecurity y Control Fiscal 2000 con operación en nube y latencia hacia las plazas.</t>
  </si>
  <si>
    <t>Validar que el controlador Wi-Fi y PCounter operen en nube (puertos, latencia y tráfico de impresión).</t>
  </si>
  <si>
    <t>2. Uso actual (lo llena APE antes de enviar)</t>
  </si>
  <si>
    <t>Métrica</t>
  </si>
  <si>
    <t>CPU promedio / pico (%)</t>
  </si>
  <si>
    <t>RAM utilizada (GB)</t>
  </si>
  <si>
    <t>Disco utilizado (GB)</t>
  </si>
  <si>
    <t>Crecimiento anual estimado de datos (%)</t>
  </si>
  <si>
    <t>Usuarios / dispositivos conectados</t>
  </si>
  <si>
    <t>Tráfico de salida estimado al mes (GB)</t>
  </si>
  <si>
    <t>Alcance de servicios a cotizar</t>
  </si>
  <si>
    <t>Columna amarilla para el proveedor: Sí (incluido) / No / Opcional (con costo aparte).</t>
  </si>
  <si>
    <t>#</t>
  </si>
  <si>
    <t>Rubro</t>
  </si>
  <si>
    <t>Requerimiento</t>
  </si>
  <si>
    <t>Incluido</t>
  </si>
  <si>
    <t>Comentarios del proveedor</t>
  </si>
  <si>
    <t>Cómputo</t>
  </si>
  <si>
    <t>3 máquinas virtuales dimensionadas según la hoja Requerimiento, con propuesta de right-sizing.</t>
  </si>
  <si>
    <t>Almacenamiento</t>
  </si>
  <si>
    <t>Discos SSD administrados; indicar tipo, IOPS y redundancia (local / zona).</t>
  </si>
  <si>
    <t>Licenciamiento</t>
  </si>
  <si>
    <t>Windows Server 2025 Standard en los servidores 2 y 3; distribución Linux soportada en el servidor 1.</t>
  </si>
  <si>
    <t>Red</t>
  </si>
  <si>
    <t>Red virtual privada, segmentación por servidor y reglas de firewall / grupos de seguridad.</t>
  </si>
  <si>
    <t>Conectividad</t>
  </si>
  <si>
    <t>VPN sitio a sitio con el corporativo (Bosques) y acceso desde las plazas; indicar si se recomienda enlace dedicado / ExpressRoute.</t>
  </si>
  <si>
    <t>IP pública</t>
  </si>
  <si>
    <t>Al menos 1 IP pública fija (servidor 1, H2H HSBC).</t>
  </si>
  <si>
    <t>Respaldo</t>
  </si>
  <si>
    <t>Respaldo diario de las 3 VM, retención mínima de 30 días, con pruebas de restauración.</t>
  </si>
  <si>
    <t>Recuperación ante desastres</t>
  </si>
  <si>
    <t>Opción de réplica en otra región/zona con RPO y RTO definidos (cotizar como opcional).</t>
  </si>
  <si>
    <t>Monitoreo</t>
  </si>
  <si>
    <t>Monitoreo 24×7 de disponibilidad, CPU, memoria y disco, con alertas a TI.</t>
  </si>
  <si>
    <t>Seguridad</t>
  </si>
  <si>
    <t>Antimalware, parches del sistema operativo y hardening de las VM.</t>
  </si>
  <si>
    <t>Migración</t>
  </si>
  <si>
    <t>Migración de los 3 servidores actuales: inventario, plan, ventana, pruebas, rollback y aceptación por servicio.</t>
  </si>
  <si>
    <t>Soporte</t>
  </si>
  <si>
    <t>Mesa de ayuda 24×7 con tiempos de respuesta por severidad.</t>
  </si>
  <si>
    <t>SLA</t>
  </si>
  <si>
    <t>Disponibilidad mínima de 99.9% por VM y penalizaciones por incumplimiento.</t>
  </si>
  <si>
    <t>Administración</t>
  </si>
  <si>
    <t>Indicar si la administración del sistema operativo es de C3ntro (administrado) o de APE (no administrado).</t>
  </si>
  <si>
    <t>Facturación</t>
  </si>
  <si>
    <t>Integrar al contrato / facturación vigente con C3ntro; detalle mensual por servidor.</t>
  </si>
  <si>
    <t>Cotización (lo llena el proveedor)</t>
  </si>
  <si>
    <t>Precios sin IVA. Celdas amarillas editables. Moneda y tipo de cambio:</t>
  </si>
  <si>
    <t>Moneda</t>
  </si>
  <si>
    <t>MXN</t>
  </si>
  <si>
    <t>Tipo de cambio (si USD)</t>
  </si>
  <si>
    <t>1. Costo mensual recurrente</t>
  </si>
  <si>
    <t>Configuración propuesta (vCPU / RAM / disco)</t>
  </si>
  <si>
    <t>Pago por uso
mensual</t>
  </si>
  <si>
    <t>Reserva 1 año
mensual</t>
  </si>
  <si>
    <t>Reserva 3 años
mensual</t>
  </si>
  <si>
    <t>Servidor 1 · H2H 1.5 (Linux)</t>
  </si>
  <si>
    <t>Servidor 2 · ZK + Control Fiscal (Windows)</t>
  </si>
  <si>
    <t>Servidor 3 · Wi-Fi + PCounter + NetViewer (Windows)</t>
  </si>
  <si>
    <t>Licenciamiento Windows Server (si no va incluido arriba)</t>
  </si>
  <si>
    <t>Almacenamiento adicional</t>
  </si>
  <si>
    <t>Respaldo (3 VM, 30 días)</t>
  </si>
  <si>
    <t>IP pública fija</t>
  </si>
  <si>
    <t>VPN sitio a sitio / conectividad</t>
  </si>
  <si>
    <t>Monitoreo 24×7</t>
  </si>
  <si>
    <t>Administración del sistema operativo</t>
  </si>
  <si>
    <t>Transferencia de datos (salida)</t>
  </si>
  <si>
    <t>Otros (especificar)</t>
  </si>
  <si>
    <t>Total mensual</t>
  </si>
  <si>
    <t>2. Costos únicos</t>
  </si>
  <si>
    <t>Descripción</t>
  </si>
  <si>
    <t>Monto único</t>
  </si>
  <si>
    <t>Habilitación / configuración inicial</t>
  </si>
  <si>
    <t>Migración de los 3 servidores</t>
  </si>
  <si>
    <t>Configuración de VPN y red</t>
  </si>
  <si>
    <t>Total costos únicos</t>
  </si>
  <si>
    <t>3. Resumen a 36 meses (se calcula solo)</t>
  </si>
  <si>
    <t>Modalidad</t>
  </si>
  <si>
    <t>Mensual</t>
  </si>
  <si>
    <t>Costos únicos</t>
  </si>
  <si>
    <t>Total 36 meses sin IVA</t>
  </si>
  <si>
    <t>Total 36 meses con IVA</t>
  </si>
  <si>
    <t>Pago por uso</t>
  </si>
  <si>
    <t>Reserva 1 año (renovada)</t>
  </si>
  <si>
    <t>Reserva 3 años</t>
  </si>
  <si>
    <t>Vigencia de la cotización</t>
  </si>
  <si>
    <t>Tiempo de habilitación</t>
  </si>
  <si>
    <t>Condiciones de pago</t>
  </si>
  <si>
    <t>Permanencia mínima / penalización</t>
  </si>
  <si>
    <t>Preguntas técnicas para el proveedor</t>
  </si>
  <si>
    <t>Responder en la columna amarilla.</t>
  </si>
  <si>
    <t>Tema</t>
  </si>
  <si>
    <t>Pregunta</t>
  </si>
  <si>
    <t>Respuesta del proveedor</t>
  </si>
  <si>
    <t>Nube</t>
  </si>
  <si>
    <t>¿En qué nube y región se alojarían los servidores (Azure con la suscripción actual u otra)?</t>
  </si>
  <si>
    <t>Dimensionamiento</t>
  </si>
  <si>
    <t>¿Qué tamaño de VM recomiendan para cada servidor y por qué? ¿Se puede ajustar sin reinstalar?</t>
  </si>
  <si>
    <t>H2H HSBC</t>
  </si>
  <si>
    <t>¿Tienen experiencia alojando servicios host-to-host bancarios? ¿Cómo se garantiza la IP fija y los requisitos de seguridad del banco?</t>
  </si>
  <si>
    <t>ZK BioSecurity</t>
  </si>
  <si>
    <t>¿Cómo se conectarán los lectores biométricos de las plazas al servidor en la nube? ¿Qué latencia y ancho de banda se requieren?</t>
  </si>
  <si>
    <t>Controlador Wi-Fi</t>
  </si>
  <si>
    <t>¿Es viable operar el controlador Wi-Fi en la nube con las antenas de las plazas? ¿Qué puertos y túneles se requieren?</t>
  </si>
  <si>
    <t>PCounter</t>
  </si>
  <si>
    <t>¿Cómo se resuelve la impresión desde la nube hacia las impresoras locales sin saturar los enlaces?</t>
  </si>
  <si>
    <t>¿Se recomienda VPN sobre internet o enlace dedicado? ¿Cómo se integra con los firewalls Sophos actuales?</t>
  </si>
  <si>
    <t>Respaldo y DR</t>
  </si>
  <si>
    <t>¿Cuál es el RPO y RTO propuesto? ¿Con qué frecuencia se prueban las restauraciones?</t>
  </si>
  <si>
    <t>¿Qué controles de seguridad incluyen (antimalware, parches, registros, MFA para administración)?</t>
  </si>
  <si>
    <t>¿Cuáles son los tiempos de respuesta y solución por severidad? ¿Hay soporte en sitio si se requiere?</t>
  </si>
  <si>
    <t>¿Cuál es el plan y la duración estimada de la migración? ¿Hay ventana sin interrupción para H2H y control de acceso?</t>
  </si>
  <si>
    <t>Salida</t>
  </si>
  <si>
    <t>Al término del contrato, ¿cómo se entregan las VM y los datos a APE (formato y costo)?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</si>
</sst>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4" fontId="4" fillId="4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9"/>
  <sheetViews>
    <sheetView showGridLines="0" tabSelected="1" zoomScale="130" zoomScaleNormal="130" workbookViewId="0"/>
  </sheetViews>
  <sheetFormatPr baseColWidth="10" defaultColWidth="8.6640625" defaultRowHeight="15" x14ac:dyDescent="0.2"/>
  <cols>
    <col min="1" max="1" width="30" customWidth="1"/>
    <col min="2" max="2" width="100" customWidth="1"/>
  </cols>
  <sheetData>
    <row r="1" spans="1:2" ht="18" x14ac:dyDescent="0.2">
      <c r="A1" s="2" t="s">
        <v>0</v>
      </c>
    </row>
    <row r="2" spans="1:2" x14ac:dyDescent="0.2">
      <c r="A2" s="3" t="s">
        <v>1</v>
      </c>
    </row>
    <row r="4" spans="1:2" ht="15.75" customHeight="1" x14ac:dyDescent="0.2">
      <c r="A4" s="4" t="s">
        <v>2</v>
      </c>
      <c r="B4" s="5" t="s">
        <v>3</v>
      </c>
    </row>
    <row r="5" spans="1:2" ht="15.75" customHeight="1" x14ac:dyDescent="0.2">
      <c r="A5" s="4" t="s">
        <v>4</v>
      </c>
      <c r="B5" s="5" t="s">
        <v>5</v>
      </c>
    </row>
    <row r="6" spans="1:2" ht="15.75" customHeight="1" x14ac:dyDescent="0.2">
      <c r="A6" s="4" t="s">
        <v>6</v>
      </c>
      <c r="B6" s="5" t="s">
        <v>7</v>
      </c>
    </row>
    <row r="7" spans="1:2" ht="15.75" customHeight="1" x14ac:dyDescent="0.2">
      <c r="A7" s="4" t="s">
        <v>8</v>
      </c>
      <c r="B7" s="5" t="s">
        <v>9</v>
      </c>
    </row>
    <row r="8" spans="1:2" ht="15.75" customHeight="1" x14ac:dyDescent="0.2">
      <c r="A8" s="4" t="s">
        <v>10</v>
      </c>
      <c r="B8" s="6">
        <v>46321</v>
      </c>
    </row>
    <row r="9" spans="1:2" ht="15.75" customHeight="1" x14ac:dyDescent="0.2">
      <c r="A9" s="4" t="s">
        <v>11</v>
      </c>
      <c r="B9" s="6">
        <v>46332</v>
      </c>
    </row>
    <row r="10" spans="1:2" ht="30" customHeight="1" x14ac:dyDescent="0.2">
      <c r="A10" s="4" t="s">
        <v>12</v>
      </c>
      <c r="B10" s="5" t="s">
        <v>13</v>
      </c>
    </row>
    <row r="11" spans="1:2" ht="30" customHeight="1" x14ac:dyDescent="0.2">
      <c r="A11" s="4" t="s">
        <v>14</v>
      </c>
      <c r="B11" s="5" t="s">
        <v>15</v>
      </c>
    </row>
    <row r="13" spans="1:2" x14ac:dyDescent="0.2">
      <c r="A13" s="7" t="s">
        <v>16</v>
      </c>
    </row>
    <row r="14" spans="1:2" ht="27.75" customHeight="1" x14ac:dyDescent="0.2">
      <c r="A14" s="1" t="s">
        <v>17</v>
      </c>
      <c r="B14" s="1"/>
    </row>
    <row r="15" spans="1:2" ht="27.75" customHeight="1" x14ac:dyDescent="0.2">
      <c r="A15" s="1" t="s">
        <v>18</v>
      </c>
      <c r="B15" s="1"/>
    </row>
    <row r="16" spans="1:2" ht="27.75" customHeight="1" x14ac:dyDescent="0.2">
      <c r="A16" s="1" t="s">
        <v>19</v>
      </c>
      <c r="B16" s="1"/>
    </row>
    <row r="17" spans="1:2" ht="27.75" customHeight="1" x14ac:dyDescent="0.2">
      <c r="A17" s="1" t="s">
        <v>20</v>
      </c>
      <c r="B17" s="1"/>
    </row>
    <row r="18" spans="1:2" ht="27.75" customHeight="1" x14ac:dyDescent="0.2">
      <c r="A18" s="1" t="s">
        <v>21</v>
      </c>
      <c r="B18" s="1"/>
    </row>
    <row r="19" spans="1:2" ht="27.75" customHeight="1" x14ac:dyDescent="0.2">
      <c r="A19" s="1" t="s">
        <v>22</v>
      </c>
      <c r="B19" s="1"/>
    </row>
  </sheetData>
  <mergeCells count="6">
    <mergeCell ref="A19:B19"/>
    <mergeCell ref="A14:B14"/>
    <mergeCell ref="A15:B15"/>
    <mergeCell ref="A16:B16"/>
    <mergeCell ref="A17:B17"/>
    <mergeCell ref="A18:B1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4"/>
  <sheetViews>
    <sheetView showGridLines="0" zoomScale="120" zoomScaleNormal="120" workbookViewId="0"/>
  </sheetViews>
  <sheetFormatPr baseColWidth="10" defaultColWidth="8.6640625" defaultRowHeight="15" x14ac:dyDescent="0.2"/>
  <cols>
    <col min="1" max="1" width="30" customWidth="1"/>
    <col min="2" max="4" width="48" customWidth="1"/>
  </cols>
  <sheetData>
    <row r="1" spans="1:4" ht="18" x14ac:dyDescent="0.2">
      <c r="A1" s="2" t="s">
        <v>23</v>
      </c>
    </row>
    <row r="2" spans="1:4" x14ac:dyDescent="0.2">
      <c r="A2" s="3" t="s">
        <v>24</v>
      </c>
    </row>
    <row r="4" spans="1:4" x14ac:dyDescent="0.2">
      <c r="A4" s="8" t="s">
        <v>25</v>
      </c>
      <c r="B4" s="8" t="s">
        <v>26</v>
      </c>
      <c r="C4" s="8" t="s">
        <v>27</v>
      </c>
      <c r="D4" s="8" t="s">
        <v>28</v>
      </c>
    </row>
    <row r="5" spans="1:4" x14ac:dyDescent="0.2">
      <c r="A5" s="4" t="s">
        <v>29</v>
      </c>
      <c r="B5" s="5" t="s">
        <v>30</v>
      </c>
      <c r="C5" s="5" t="s">
        <v>31</v>
      </c>
      <c r="D5" s="5" t="s">
        <v>32</v>
      </c>
    </row>
    <row r="6" spans="1:4" ht="28" x14ac:dyDescent="0.2">
      <c r="A6" s="4" t="s">
        <v>33</v>
      </c>
      <c r="B6" s="5" t="s">
        <v>34</v>
      </c>
      <c r="C6" s="5" t="s">
        <v>35</v>
      </c>
      <c r="D6" s="5" t="s">
        <v>36</v>
      </c>
    </row>
    <row r="7" spans="1:4" ht="28" x14ac:dyDescent="0.2">
      <c r="A7" s="4" t="s">
        <v>37</v>
      </c>
      <c r="B7" s="5" t="s">
        <v>38</v>
      </c>
      <c r="C7" s="5" t="s">
        <v>39</v>
      </c>
      <c r="D7" s="5" t="s">
        <v>39</v>
      </c>
    </row>
    <row r="8" spans="1:4" ht="28" x14ac:dyDescent="0.2">
      <c r="A8" s="4" t="s">
        <v>40</v>
      </c>
      <c r="B8" s="5" t="s">
        <v>41</v>
      </c>
      <c r="C8" s="5" t="s">
        <v>42</v>
      </c>
      <c r="D8" s="5" t="s">
        <v>42</v>
      </c>
    </row>
    <row r="9" spans="1:4" x14ac:dyDescent="0.2">
      <c r="A9" s="4" t="s">
        <v>43</v>
      </c>
      <c r="B9" s="5" t="s">
        <v>44</v>
      </c>
      <c r="C9" s="5" t="s">
        <v>44</v>
      </c>
      <c r="D9" s="5" t="s">
        <v>44</v>
      </c>
    </row>
    <row r="10" spans="1:4" x14ac:dyDescent="0.2">
      <c r="A10" s="4" t="s">
        <v>45</v>
      </c>
      <c r="B10" s="5" t="s">
        <v>46</v>
      </c>
      <c r="C10" s="5" t="s">
        <v>46</v>
      </c>
      <c r="D10" s="5" t="s">
        <v>46</v>
      </c>
    </row>
    <row r="11" spans="1:4" x14ac:dyDescent="0.2">
      <c r="A11" s="4" t="s">
        <v>47</v>
      </c>
      <c r="B11" s="5" t="s">
        <v>48</v>
      </c>
      <c r="C11" s="5" t="s">
        <v>48</v>
      </c>
      <c r="D11" s="5" t="s">
        <v>48</v>
      </c>
    </row>
    <row r="12" spans="1:4" x14ac:dyDescent="0.2">
      <c r="A12" s="4" t="s">
        <v>49</v>
      </c>
      <c r="B12" s="5" t="s">
        <v>50</v>
      </c>
      <c r="C12" s="5" t="s">
        <v>51</v>
      </c>
      <c r="D12" s="5" t="s">
        <v>52</v>
      </c>
    </row>
    <row r="13" spans="1:4" x14ac:dyDescent="0.2">
      <c r="A13" s="4" t="s">
        <v>53</v>
      </c>
      <c r="B13" s="5" t="s">
        <v>54</v>
      </c>
      <c r="C13" s="5" t="s">
        <v>54</v>
      </c>
      <c r="D13" s="5" t="s">
        <v>54</v>
      </c>
    </row>
    <row r="14" spans="1:4" ht="28" x14ac:dyDescent="0.2">
      <c r="A14" s="4" t="s">
        <v>55</v>
      </c>
      <c r="B14" s="5" t="s">
        <v>56</v>
      </c>
      <c r="C14" s="5" t="s">
        <v>57</v>
      </c>
      <c r="D14" s="5" t="s">
        <v>58</v>
      </c>
    </row>
    <row r="15" spans="1:4" ht="28" x14ac:dyDescent="0.2">
      <c r="A15" s="4" t="s">
        <v>59</v>
      </c>
      <c r="B15" s="5" t="s">
        <v>60</v>
      </c>
      <c r="C15" s="5" t="s">
        <v>61</v>
      </c>
      <c r="D15" s="5" t="s">
        <v>62</v>
      </c>
    </row>
    <row r="17" spans="1:4" x14ac:dyDescent="0.2">
      <c r="A17" s="7" t="s">
        <v>63</v>
      </c>
    </row>
    <row r="18" spans="1:4" x14ac:dyDescent="0.2">
      <c r="A18" s="8" t="s">
        <v>64</v>
      </c>
      <c r="B18" s="8" t="s">
        <v>26</v>
      </c>
      <c r="C18" s="8" t="s">
        <v>27</v>
      </c>
      <c r="D18" s="8" t="s">
        <v>28</v>
      </c>
    </row>
    <row r="19" spans="1:4" x14ac:dyDescent="0.2">
      <c r="A19" s="4" t="s">
        <v>65</v>
      </c>
      <c r="B19" s="9"/>
      <c r="C19" s="9"/>
      <c r="D19" s="9"/>
    </row>
    <row r="20" spans="1:4" x14ac:dyDescent="0.2">
      <c r="A20" s="4" t="s">
        <v>66</v>
      </c>
      <c r="B20" s="9"/>
      <c r="C20" s="9"/>
      <c r="D20" s="9"/>
    </row>
    <row r="21" spans="1:4" x14ac:dyDescent="0.2">
      <c r="A21" s="4" t="s">
        <v>67</v>
      </c>
      <c r="B21" s="9"/>
      <c r="C21" s="9"/>
      <c r="D21" s="9"/>
    </row>
    <row r="22" spans="1:4" ht="28" x14ac:dyDescent="0.2">
      <c r="A22" s="4" t="s">
        <v>68</v>
      </c>
      <c r="B22" s="9"/>
      <c r="C22" s="9"/>
      <c r="D22" s="9"/>
    </row>
    <row r="23" spans="1:4" ht="28" x14ac:dyDescent="0.2">
      <c r="A23" s="4" t="s">
        <v>69</v>
      </c>
      <c r="B23" s="9"/>
      <c r="C23" s="9"/>
      <c r="D23" s="9"/>
    </row>
    <row r="24" spans="1:4" ht="28" x14ac:dyDescent="0.2">
      <c r="A24" s="4" t="s">
        <v>70</v>
      </c>
      <c r="B24" s="9"/>
      <c r="C24" s="9"/>
      <c r="D24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showGridLines="0" zoomScale="120" zoomScaleNormal="120" workbookViewId="0"/>
  </sheetViews>
  <sheetFormatPr baseColWidth="10" defaultColWidth="8.6640625" defaultRowHeight="15" x14ac:dyDescent="0.2"/>
  <cols>
    <col min="1" max="1" width="5" customWidth="1"/>
    <col min="2" max="2" width="22" customWidth="1"/>
    <col min="3" max="3" width="70" customWidth="1"/>
    <col min="4" max="4" width="11" customWidth="1"/>
    <col min="5" max="5" width="40" customWidth="1"/>
  </cols>
  <sheetData>
    <row r="1" spans="1:5" ht="18" x14ac:dyDescent="0.2">
      <c r="A1" s="2" t="s">
        <v>71</v>
      </c>
    </row>
    <row r="2" spans="1:5" x14ac:dyDescent="0.2">
      <c r="A2" s="3" t="s">
        <v>72</v>
      </c>
    </row>
    <row r="4" spans="1:5" x14ac:dyDescent="0.2">
      <c r="A4" s="8" t="s">
        <v>73</v>
      </c>
      <c r="B4" s="8" t="s">
        <v>74</v>
      </c>
      <c r="C4" s="8" t="s">
        <v>75</v>
      </c>
      <c r="D4" s="8" t="s">
        <v>76</v>
      </c>
      <c r="E4" s="8" t="s">
        <v>77</v>
      </c>
    </row>
    <row r="5" spans="1:5" ht="28" x14ac:dyDescent="0.2">
      <c r="A5" s="10">
        <v>1</v>
      </c>
      <c r="B5" s="11" t="s">
        <v>78</v>
      </c>
      <c r="C5" s="5" t="s">
        <v>79</v>
      </c>
      <c r="D5" s="12"/>
      <c r="E5" s="9"/>
    </row>
    <row r="6" spans="1:5" x14ac:dyDescent="0.2">
      <c r="A6" s="10">
        <v>2</v>
      </c>
      <c r="B6" s="11" t="s">
        <v>80</v>
      </c>
      <c r="C6" s="5" t="s">
        <v>81</v>
      </c>
      <c r="D6" s="12"/>
      <c r="E6" s="9"/>
    </row>
    <row r="7" spans="1:5" ht="28" x14ac:dyDescent="0.2">
      <c r="A7" s="10">
        <v>3</v>
      </c>
      <c r="B7" s="11" t="s">
        <v>82</v>
      </c>
      <c r="C7" s="5" t="s">
        <v>83</v>
      </c>
      <c r="D7" s="12"/>
      <c r="E7" s="9"/>
    </row>
    <row r="8" spans="1:5" ht="28" x14ac:dyDescent="0.2">
      <c r="A8" s="10">
        <v>4</v>
      </c>
      <c r="B8" s="11" t="s">
        <v>84</v>
      </c>
      <c r="C8" s="5" t="s">
        <v>85</v>
      </c>
      <c r="D8" s="12"/>
      <c r="E8" s="9"/>
    </row>
    <row r="9" spans="1:5" ht="28" x14ac:dyDescent="0.2">
      <c r="A9" s="10">
        <v>5</v>
      </c>
      <c r="B9" s="11" t="s">
        <v>86</v>
      </c>
      <c r="C9" s="5" t="s">
        <v>87</v>
      </c>
      <c r="D9" s="12"/>
      <c r="E9" s="9"/>
    </row>
    <row r="10" spans="1:5" x14ac:dyDescent="0.2">
      <c r="A10" s="10">
        <v>6</v>
      </c>
      <c r="B10" s="11" t="s">
        <v>88</v>
      </c>
      <c r="C10" s="5" t="s">
        <v>89</v>
      </c>
      <c r="D10" s="12"/>
      <c r="E10" s="9"/>
    </row>
    <row r="11" spans="1:5" ht="28" x14ac:dyDescent="0.2">
      <c r="A11" s="10">
        <v>7</v>
      </c>
      <c r="B11" s="11" t="s">
        <v>90</v>
      </c>
      <c r="C11" s="5" t="s">
        <v>91</v>
      </c>
      <c r="D11" s="12"/>
      <c r="E11" s="9"/>
    </row>
    <row r="12" spans="1:5" ht="28" x14ac:dyDescent="0.2">
      <c r="A12" s="10">
        <v>8</v>
      </c>
      <c r="B12" s="11" t="s">
        <v>92</v>
      </c>
      <c r="C12" s="5" t="s">
        <v>93</v>
      </c>
      <c r="D12" s="12"/>
      <c r="E12" s="9"/>
    </row>
    <row r="13" spans="1:5" x14ac:dyDescent="0.2">
      <c r="A13" s="10">
        <v>9</v>
      </c>
      <c r="B13" s="11" t="s">
        <v>94</v>
      </c>
      <c r="C13" s="5" t="s">
        <v>95</v>
      </c>
      <c r="D13" s="12"/>
      <c r="E13" s="9"/>
    </row>
    <row r="14" spans="1:5" x14ac:dyDescent="0.2">
      <c r="A14" s="10">
        <v>10</v>
      </c>
      <c r="B14" s="11" t="s">
        <v>96</v>
      </c>
      <c r="C14" s="5" t="s">
        <v>97</v>
      </c>
      <c r="D14" s="12"/>
      <c r="E14" s="9"/>
    </row>
    <row r="15" spans="1:5" ht="28" x14ac:dyDescent="0.2">
      <c r="A15" s="10">
        <v>11</v>
      </c>
      <c r="B15" s="11" t="s">
        <v>98</v>
      </c>
      <c r="C15" s="5" t="s">
        <v>99</v>
      </c>
      <c r="D15" s="12"/>
      <c r="E15" s="9"/>
    </row>
    <row r="16" spans="1:5" x14ac:dyDescent="0.2">
      <c r="A16" s="10">
        <v>12</v>
      </c>
      <c r="B16" s="11" t="s">
        <v>100</v>
      </c>
      <c r="C16" s="5" t="s">
        <v>101</v>
      </c>
      <c r="D16" s="12"/>
      <c r="E16" s="9"/>
    </row>
    <row r="17" spans="1:5" x14ac:dyDescent="0.2">
      <c r="A17" s="10">
        <v>13</v>
      </c>
      <c r="B17" s="11" t="s">
        <v>102</v>
      </c>
      <c r="C17" s="5" t="s">
        <v>103</v>
      </c>
      <c r="D17" s="12"/>
      <c r="E17" s="9"/>
    </row>
    <row r="18" spans="1:5" ht="28" x14ac:dyDescent="0.2">
      <c r="A18" s="10">
        <v>14</v>
      </c>
      <c r="B18" s="11" t="s">
        <v>104</v>
      </c>
      <c r="C18" s="5" t="s">
        <v>105</v>
      </c>
      <c r="D18" s="12"/>
      <c r="E18" s="9"/>
    </row>
    <row r="19" spans="1:5" x14ac:dyDescent="0.2">
      <c r="A19" s="10">
        <v>15</v>
      </c>
      <c r="B19" s="11" t="s">
        <v>106</v>
      </c>
      <c r="C19" s="5" t="s">
        <v>107</v>
      </c>
      <c r="D19" s="12"/>
      <c r="E19" s="9"/>
    </row>
  </sheetData>
  <dataValidations disablePrompts="1" count="1">
    <dataValidation type="list" allowBlank="1" sqref="D5:D19" xr:uid="{00000000-0002-0000-0200-000000000000}">
      <formula1>"Sí,No,Opcional"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8"/>
  <sheetViews>
    <sheetView showGridLines="0" zoomScale="120" zoomScaleNormal="120" workbookViewId="0"/>
  </sheetViews>
  <sheetFormatPr baseColWidth="10" defaultColWidth="8.6640625" defaultRowHeight="15" x14ac:dyDescent="0.2"/>
  <cols>
    <col min="1" max="1" width="44" customWidth="1"/>
    <col min="2" max="2" width="40" customWidth="1"/>
    <col min="3" max="4" width="16" customWidth="1"/>
    <col min="5" max="6" width="18" customWidth="1"/>
  </cols>
  <sheetData>
    <row r="1" spans="1:5" ht="18" x14ac:dyDescent="0.2">
      <c r="A1" s="2" t="s">
        <v>108</v>
      </c>
    </row>
    <row r="2" spans="1:5" x14ac:dyDescent="0.2">
      <c r="A2" s="3" t="s">
        <v>109</v>
      </c>
    </row>
    <row r="3" spans="1:5" ht="28" x14ac:dyDescent="0.2">
      <c r="A3" s="4" t="s">
        <v>110</v>
      </c>
      <c r="B3" s="12" t="s">
        <v>111</v>
      </c>
      <c r="C3" s="4" t="s">
        <v>112</v>
      </c>
      <c r="D3" s="13"/>
    </row>
    <row r="5" spans="1:5" x14ac:dyDescent="0.2">
      <c r="A5" s="7" t="s">
        <v>113</v>
      </c>
    </row>
    <row r="6" spans="1:5" ht="31.5" customHeight="1" x14ac:dyDescent="0.2">
      <c r="A6" s="8" t="s">
        <v>25</v>
      </c>
      <c r="B6" s="8" t="s">
        <v>114</v>
      </c>
      <c r="C6" s="8" t="s">
        <v>115</v>
      </c>
      <c r="D6" s="8" t="s">
        <v>116</v>
      </c>
      <c r="E6" s="8" t="s">
        <v>117</v>
      </c>
    </row>
    <row r="7" spans="1:5" x14ac:dyDescent="0.2">
      <c r="A7" s="11" t="s">
        <v>118</v>
      </c>
      <c r="B7" s="9"/>
      <c r="C7" s="13"/>
      <c r="D7" s="13"/>
      <c r="E7" s="13"/>
    </row>
    <row r="8" spans="1:5" x14ac:dyDescent="0.2">
      <c r="A8" s="11" t="s">
        <v>119</v>
      </c>
      <c r="B8" s="9"/>
      <c r="C8" s="13"/>
      <c r="D8" s="13"/>
      <c r="E8" s="13"/>
    </row>
    <row r="9" spans="1:5" ht="28" x14ac:dyDescent="0.2">
      <c r="A9" s="11" t="s">
        <v>120</v>
      </c>
      <c r="B9" s="9"/>
      <c r="C9" s="13"/>
      <c r="D9" s="13"/>
      <c r="E9" s="13"/>
    </row>
    <row r="10" spans="1:5" ht="28" x14ac:dyDescent="0.2">
      <c r="A10" s="5" t="s">
        <v>121</v>
      </c>
      <c r="B10" s="9"/>
      <c r="C10" s="13"/>
      <c r="D10" s="13"/>
      <c r="E10" s="13"/>
    </row>
    <row r="11" spans="1:5" x14ac:dyDescent="0.2">
      <c r="A11" s="5" t="s">
        <v>122</v>
      </c>
      <c r="B11" s="9"/>
      <c r="C11" s="13"/>
      <c r="D11" s="13"/>
      <c r="E11" s="13"/>
    </row>
    <row r="12" spans="1:5" x14ac:dyDescent="0.2">
      <c r="A12" s="5" t="s">
        <v>123</v>
      </c>
      <c r="B12" s="9"/>
      <c r="C12" s="13"/>
      <c r="D12" s="13"/>
      <c r="E12" s="13"/>
    </row>
    <row r="13" spans="1:5" x14ac:dyDescent="0.2">
      <c r="A13" s="5" t="s">
        <v>124</v>
      </c>
      <c r="B13" s="9"/>
      <c r="C13" s="13"/>
      <c r="D13" s="13"/>
      <c r="E13" s="13"/>
    </row>
    <row r="14" spans="1:5" x14ac:dyDescent="0.2">
      <c r="A14" s="5" t="s">
        <v>125</v>
      </c>
      <c r="B14" s="9"/>
      <c r="C14" s="13"/>
      <c r="D14" s="13"/>
      <c r="E14" s="13"/>
    </row>
    <row r="15" spans="1:5" x14ac:dyDescent="0.2">
      <c r="A15" s="5" t="s">
        <v>126</v>
      </c>
      <c r="B15" s="9"/>
      <c r="C15" s="13"/>
      <c r="D15" s="13"/>
      <c r="E15" s="13"/>
    </row>
    <row r="16" spans="1:5" x14ac:dyDescent="0.2">
      <c r="A16" s="5" t="s">
        <v>127</v>
      </c>
      <c r="B16" s="9"/>
      <c r="C16" s="13"/>
      <c r="D16" s="13"/>
      <c r="E16" s="13"/>
    </row>
    <row r="17" spans="1:6" x14ac:dyDescent="0.2">
      <c r="A17" s="5" t="s">
        <v>128</v>
      </c>
      <c r="B17" s="9"/>
      <c r="C17" s="13"/>
      <c r="D17" s="13"/>
      <c r="E17" s="13"/>
    </row>
    <row r="18" spans="1:6" x14ac:dyDescent="0.2">
      <c r="A18" s="5" t="s">
        <v>129</v>
      </c>
      <c r="B18" s="9"/>
      <c r="C18" s="13"/>
      <c r="D18" s="13"/>
      <c r="E18" s="13"/>
    </row>
    <row r="19" spans="1:6" x14ac:dyDescent="0.2">
      <c r="A19" s="4" t="s">
        <v>130</v>
      </c>
      <c r="B19" s="14"/>
      <c r="C19" s="15">
        <f>SUM(C7:C18)</f>
        <v>0</v>
      </c>
      <c r="D19" s="15">
        <f>SUM(D7:D18)</f>
        <v>0</v>
      </c>
      <c r="E19" s="15">
        <f>SUM(E7:E18)</f>
        <v>0</v>
      </c>
    </row>
    <row r="21" spans="1:6" x14ac:dyDescent="0.2">
      <c r="A21" s="7" t="s">
        <v>131</v>
      </c>
    </row>
    <row r="22" spans="1:6" x14ac:dyDescent="0.2">
      <c r="A22" s="8" t="s">
        <v>25</v>
      </c>
      <c r="B22" s="8" t="s">
        <v>132</v>
      </c>
      <c r="C22" s="8" t="s">
        <v>133</v>
      </c>
    </row>
    <row r="23" spans="1:6" x14ac:dyDescent="0.2">
      <c r="A23" s="5" t="s">
        <v>134</v>
      </c>
      <c r="B23" s="9"/>
      <c r="C23" s="13"/>
    </row>
    <row r="24" spans="1:6" x14ac:dyDescent="0.2">
      <c r="A24" s="5" t="s">
        <v>135</v>
      </c>
      <c r="B24" s="9"/>
      <c r="C24" s="13"/>
    </row>
    <row r="25" spans="1:6" x14ac:dyDescent="0.2">
      <c r="A25" s="5" t="s">
        <v>136</v>
      </c>
      <c r="B25" s="9"/>
      <c r="C25" s="13"/>
    </row>
    <row r="26" spans="1:6" x14ac:dyDescent="0.2">
      <c r="A26" s="5" t="s">
        <v>129</v>
      </c>
      <c r="B26" s="9"/>
      <c r="C26" s="13"/>
    </row>
    <row r="27" spans="1:6" x14ac:dyDescent="0.2">
      <c r="A27" s="4" t="s">
        <v>137</v>
      </c>
      <c r="B27" s="14"/>
      <c r="C27" s="15">
        <f>SUM(C23:C26)</f>
        <v>0</v>
      </c>
    </row>
    <row r="29" spans="1:6" x14ac:dyDescent="0.2">
      <c r="A29" s="7" t="s">
        <v>138</v>
      </c>
    </row>
    <row r="30" spans="1:6" ht="28" x14ac:dyDescent="0.2">
      <c r="A30" s="8" t="s">
        <v>139</v>
      </c>
      <c r="B30" s="8"/>
      <c r="C30" s="8" t="s">
        <v>140</v>
      </c>
      <c r="D30" s="8" t="s">
        <v>141</v>
      </c>
      <c r="E30" s="8" t="s">
        <v>142</v>
      </c>
      <c r="F30" s="8" t="s">
        <v>143</v>
      </c>
    </row>
    <row r="31" spans="1:6" x14ac:dyDescent="0.2">
      <c r="A31" s="11" t="s">
        <v>144</v>
      </c>
      <c r="B31" s="5"/>
      <c r="C31" s="16">
        <f>C19</f>
        <v>0</v>
      </c>
      <c r="D31" s="16">
        <f>C27</f>
        <v>0</v>
      </c>
      <c r="E31" s="17">
        <f>C31*36+D31</f>
        <v>0</v>
      </c>
      <c r="F31" s="16">
        <f>E31*1.16</f>
        <v>0</v>
      </c>
    </row>
    <row r="32" spans="1:6" x14ac:dyDescent="0.2">
      <c r="A32" s="11" t="s">
        <v>145</v>
      </c>
      <c r="B32" s="5"/>
      <c r="C32" s="16">
        <f>D19</f>
        <v>0</v>
      </c>
      <c r="D32" s="16">
        <f>C27</f>
        <v>0</v>
      </c>
      <c r="E32" s="17">
        <f>C32*36+D32</f>
        <v>0</v>
      </c>
      <c r="F32" s="16">
        <f>E32*1.16</f>
        <v>0</v>
      </c>
    </row>
    <row r="33" spans="1:6" x14ac:dyDescent="0.2">
      <c r="A33" s="11" t="s">
        <v>146</v>
      </c>
      <c r="B33" s="5"/>
      <c r="C33" s="16">
        <f>E19</f>
        <v>0</v>
      </c>
      <c r="D33" s="16">
        <f>C27</f>
        <v>0</v>
      </c>
      <c r="E33" s="17">
        <f>C33*36+D33</f>
        <v>0</v>
      </c>
      <c r="F33" s="16">
        <f>E33*1.16</f>
        <v>0</v>
      </c>
    </row>
    <row r="35" spans="1:6" x14ac:dyDescent="0.2">
      <c r="A35" s="4" t="s">
        <v>147</v>
      </c>
      <c r="B35" s="9"/>
    </row>
    <row r="36" spans="1:6" x14ac:dyDescent="0.2">
      <c r="A36" s="4" t="s">
        <v>148</v>
      </c>
      <c r="B36" s="9"/>
    </row>
    <row r="37" spans="1:6" x14ac:dyDescent="0.2">
      <c r="A37" s="4" t="s">
        <v>149</v>
      </c>
      <c r="B37" s="9"/>
    </row>
    <row r="38" spans="1:6" x14ac:dyDescent="0.2">
      <c r="A38" s="4" t="s">
        <v>150</v>
      </c>
      <c r="B38" s="9"/>
    </row>
  </sheetData>
  <dataValidations disablePrompts="1" count="1">
    <dataValidation type="list" sqref="B3" xr:uid="{00000000-0002-0000-0300-000000000000}">
      <formula1>"MXN,USD"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6"/>
  <sheetViews>
    <sheetView showGridLines="0" topLeftCell="A4" zoomScale="120" zoomScaleNormal="120" workbookViewId="0"/>
  </sheetViews>
  <sheetFormatPr baseColWidth="10" defaultColWidth="8.6640625" defaultRowHeight="15" x14ac:dyDescent="0.2"/>
  <cols>
    <col min="1" max="1" width="5" customWidth="1"/>
    <col min="2" max="2" width="20" customWidth="1"/>
    <col min="3" max="3" width="75" customWidth="1"/>
    <col min="4" max="4" width="50" customWidth="1"/>
  </cols>
  <sheetData>
    <row r="1" spans="1:4" ht="18" x14ac:dyDescent="0.2">
      <c r="A1" s="2" t="s">
        <v>151</v>
      </c>
    </row>
    <row r="2" spans="1:4" x14ac:dyDescent="0.2">
      <c r="A2" s="3" t="s">
        <v>152</v>
      </c>
    </row>
    <row r="4" spans="1:4" x14ac:dyDescent="0.2">
      <c r="A4" s="8" t="s">
        <v>73</v>
      </c>
      <c r="B4" s="8" t="s">
        <v>153</v>
      </c>
      <c r="C4" s="8" t="s">
        <v>154</v>
      </c>
      <c r="D4" s="8" t="s">
        <v>155</v>
      </c>
    </row>
    <row r="5" spans="1:4" x14ac:dyDescent="0.2">
      <c r="A5" s="10">
        <v>1</v>
      </c>
      <c r="B5" s="11" t="s">
        <v>156</v>
      </c>
      <c r="C5" s="5" t="s">
        <v>157</v>
      </c>
      <c r="D5" s="9"/>
    </row>
    <row r="6" spans="1:4" ht="28" x14ac:dyDescent="0.2">
      <c r="A6" s="10">
        <v>2</v>
      </c>
      <c r="B6" s="11" t="s">
        <v>158</v>
      </c>
      <c r="C6" s="5" t="s">
        <v>159</v>
      </c>
      <c r="D6" s="9"/>
    </row>
    <row r="7" spans="1:4" ht="28" x14ac:dyDescent="0.2">
      <c r="A7" s="10">
        <v>3</v>
      </c>
      <c r="B7" s="11" t="s">
        <v>160</v>
      </c>
      <c r="C7" s="5" t="s">
        <v>161</v>
      </c>
      <c r="D7" s="9"/>
    </row>
    <row r="8" spans="1:4" ht="28" x14ac:dyDescent="0.2">
      <c r="A8" s="10">
        <v>4</v>
      </c>
      <c r="B8" s="11" t="s">
        <v>162</v>
      </c>
      <c r="C8" s="5" t="s">
        <v>163</v>
      </c>
      <c r="D8" s="9"/>
    </row>
    <row r="9" spans="1:4" ht="28" x14ac:dyDescent="0.2">
      <c r="A9" s="10">
        <v>5</v>
      </c>
      <c r="B9" s="11" t="s">
        <v>164</v>
      </c>
      <c r="C9" s="5" t="s">
        <v>165</v>
      </c>
      <c r="D9" s="9"/>
    </row>
    <row r="10" spans="1:4" ht="28" x14ac:dyDescent="0.2">
      <c r="A10" s="10">
        <v>6</v>
      </c>
      <c r="B10" s="11" t="s">
        <v>166</v>
      </c>
      <c r="C10" s="5" t="s">
        <v>167</v>
      </c>
      <c r="D10" s="9"/>
    </row>
    <row r="11" spans="1:4" ht="28" x14ac:dyDescent="0.2">
      <c r="A11" s="10">
        <v>7</v>
      </c>
      <c r="B11" s="11" t="s">
        <v>86</v>
      </c>
      <c r="C11" s="5" t="s">
        <v>168</v>
      </c>
      <c r="D11" s="9"/>
    </row>
    <row r="12" spans="1:4" x14ac:dyDescent="0.2">
      <c r="A12" s="10">
        <v>8</v>
      </c>
      <c r="B12" s="11" t="s">
        <v>169</v>
      </c>
      <c r="C12" s="5" t="s">
        <v>170</v>
      </c>
      <c r="D12" s="9"/>
    </row>
    <row r="13" spans="1:4" ht="28" x14ac:dyDescent="0.2">
      <c r="A13" s="10">
        <v>9</v>
      </c>
      <c r="B13" s="11" t="s">
        <v>96</v>
      </c>
      <c r="C13" s="5" t="s">
        <v>171</v>
      </c>
      <c r="D13" s="9"/>
    </row>
    <row r="14" spans="1:4" ht="28" x14ac:dyDescent="0.2">
      <c r="A14" s="10">
        <v>10</v>
      </c>
      <c r="B14" s="11" t="s">
        <v>100</v>
      </c>
      <c r="C14" s="5" t="s">
        <v>172</v>
      </c>
      <c r="D14" s="9"/>
    </row>
    <row r="15" spans="1:4" ht="28" x14ac:dyDescent="0.2">
      <c r="A15" s="10">
        <v>11</v>
      </c>
      <c r="B15" s="11" t="s">
        <v>98</v>
      </c>
      <c r="C15" s="5" t="s">
        <v>173</v>
      </c>
      <c r="D15" s="9"/>
    </row>
    <row r="16" spans="1:4" x14ac:dyDescent="0.2">
      <c r="A16" s="10">
        <v>12</v>
      </c>
      <c r="B16" s="11" t="s">
        <v>174</v>
      </c>
      <c r="C16" s="5" t="s">
        <v>175</v>
      </c>
      <c r="D16" s="9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Requerimiento</vt:lpstr>
      <vt:lpstr>Alcance</vt:lpstr>
      <vt:lpstr>Cotización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APE Plazas · DTI</dc:creator>
  <dc:description/>
  <cp:lastModifiedBy>Miguel Angel Uribe B.</cp:lastModifiedBy>
  <cp:revision>0</cp:revision>
  <dcterms:created xsi:type="dcterms:W3CDTF">2026-10-26T18:32:27Z</dcterms:created>
  <dcterms:modified xsi:type="dcterms:W3CDTF">2026-10-26T18:34:41Z</dcterms:modified>
  <dc:language>en-US</dc:language>
</cp:coreProperties>
</file>