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Actividades" sheetId="1" state="visible" r:id="rId3"/>
    <sheet name="Resumen por Responsable" sheetId="2" state="visible" r:id="rId4"/>
    <sheet name="Leyenda y Notas" sheetId="3" state="visible" r:id="rId5"/>
  </sheets>
  <definedNames>
    <definedName function="false" hidden="false" localSheetId="0" name="_xlnm.Print_Titles" vbProcedure="false">'Plan de Actividades'!$5:$5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<sst xmlns="http://schemas.openxmlformats.org/spreadsheetml/2006/main" count="302" uniqueCount="203">
  <si>
    <t xml:space="preserve">Plan de Implementación — Azure AI Foundry</t>
  </si>
  <si>
    <t xml:space="preserve">Actividades · Tiempos · Responsables</t>
  </si>
  <si>
    <t xml:space="preserve">Fase</t>
  </si>
  <si>
    <t xml:space="preserve">N°</t>
  </si>
  <si>
    <t xml:space="preserve">Actividad</t>
  </si>
  <si>
    <t xml:space="preserve">Descripción</t>
  </si>
  <si>
    <t xml:space="preserve">Inicio
(Semana)</t>
  </si>
  <si>
    <t xml:space="preserve">Fin
(Semana)</t>
  </si>
  <si>
    <t xml:space="preserve">Duración
(Semanas)</t>
  </si>
  <si>
    <t xml:space="preserve">Responsable Principal</t>
  </si>
  <si>
    <t xml:space="preserve">Responsables de Apoyo</t>
  </si>
  <si>
    <t xml:space="preserve">Entregable</t>
  </si>
  <si>
    <t xml:space="preserve">Estado</t>
  </si>
  <si>
    <t xml:space="preserve">Fase 1</t>
  </si>
  <si>
    <t xml:space="preserve">Kickoff y alineación ejecutiva</t>
  </si>
  <si>
    <t xml:space="preserve">Reunión de arranque con stakeholders, definición de objetivos y KPIs del proyecto.</t>
  </si>
  <si>
    <t xml:space="preserve">Sem. 1</t>
  </si>
  <si>
    <t xml:space="preserve">1</t>
  </si>
  <si>
    <t xml:space="preserve">Líder de Proyecto</t>
  </si>
  <si>
    <t xml:space="preserve">Director de TI, Sponsor Ejecutivo</t>
  </si>
  <si>
    <t xml:space="preserve">Acta de kickoff firmada</t>
  </si>
  <si>
    <t xml:space="preserve">Pendiente</t>
  </si>
  <si>
    <t xml:space="preserve">Levantamiento de requerimientos</t>
  </si>
  <si>
    <t xml:space="preserve">Talleres con áreas usuarias para documentar casos de uso, flujos y necesidades de integración.</t>
  </si>
  <si>
    <t xml:space="preserve">Sem. 2</t>
  </si>
  <si>
    <t xml:space="preserve">2</t>
  </si>
  <si>
    <t xml:space="preserve">Arquitecto Azure</t>
  </si>
  <si>
    <t xml:space="preserve">Analista de Negocio, Líder de Proyecto</t>
  </si>
  <si>
    <t xml:space="preserve">Documento de requerimientos</t>
  </si>
  <si>
    <t xml:space="preserve">Evaluación de arquitectura existente</t>
  </si>
  <si>
    <t xml:space="preserve">Análisis del entorno tecnológico actual: infraestructura, identidad (AAD), datos y redes.</t>
  </si>
  <si>
    <t xml:space="preserve">Sem. 3</t>
  </si>
  <si>
    <t xml:space="preserve">Ingeniero de Infraestructura, Especialista en Seguridad</t>
  </si>
  <si>
    <t xml:space="preserve">Reporte de arquitectura As-Is</t>
  </si>
  <si>
    <t xml:space="preserve">Diseño de solución y arquitectura target</t>
  </si>
  <si>
    <t xml:space="preserve">Definición de la arquitectura To-Be en Azure, topología de red, componentes y flujos de datos.</t>
  </si>
  <si>
    <t xml:space="preserve">Sem. 4</t>
  </si>
  <si>
    <t xml:space="preserve">Ingeniero de IA/ML, Especialista en Seguridad</t>
  </si>
  <si>
    <t xml:space="preserve">Diagrama de arquitectura To-Be</t>
  </si>
  <si>
    <t xml:space="preserve">Plan de gobierno de datos y seguridad</t>
  </si>
  <si>
    <t xml:space="preserve">Definición de políticas de acceso, cifrado, retención de datos y cumplimiento regulatorio.</t>
  </si>
  <si>
    <t xml:space="preserve">Sem. 5</t>
  </si>
  <si>
    <t xml:space="preserve">Especialista en Seguridad</t>
  </si>
  <si>
    <t xml:space="preserve">Arquitecto Azure, Líder de Proyecto</t>
  </si>
  <si>
    <t xml:space="preserve">Plan de Gobierno de Datos</t>
  </si>
  <si>
    <t xml:space="preserve">Fase 2</t>
  </si>
  <si>
    <t xml:space="preserve">Configuración de ambiente de pruebas</t>
  </si>
  <si>
    <t xml:space="preserve">Aprovisionamiento de suscripción Azure, grupos de recursos, redes privadas y servicios core.</t>
  </si>
  <si>
    <t xml:space="preserve">Sem. 6</t>
  </si>
  <si>
    <t xml:space="preserve">Ingeniero de Infraestructura</t>
  </si>
  <si>
    <t xml:space="preserve">Arquitecto Azure, Ingeniero de IA/ML</t>
  </si>
  <si>
    <t xml:space="preserve">Ambiente PoC operativo</t>
  </si>
  <si>
    <t xml:space="preserve">Desarrollo del caso de uso prioritario</t>
  </si>
  <si>
    <t xml:space="preserve">Implementación del primer caso de uso (Asistente GPT-4 o Document Intelligence) en ambiente de pruebas.</t>
  </si>
  <si>
    <t xml:space="preserve">Sem. 8</t>
  </si>
  <si>
    <t xml:space="preserve">3</t>
  </si>
  <si>
    <t xml:space="preserve">Ingeniero de IA/ML</t>
  </si>
  <si>
    <t xml:space="preserve">Desarrollador de Software, Arquitecto Azure</t>
  </si>
  <si>
    <t xml:space="preserve">Demo funcional del caso de uso</t>
  </si>
  <si>
    <t xml:space="preserve">Integración con Azure AD y seguridad</t>
  </si>
  <si>
    <t xml:space="preserve">Configuración de autenticación, RBAC, Private Endpoints y políticas de acceso condicional.</t>
  </si>
  <si>
    <t xml:space="preserve">Sem. 7</t>
  </si>
  <si>
    <t xml:space="preserve">Sem. 9</t>
  </si>
  <si>
    <t xml:space="preserve">Ingeniero de Infraestructura, Arquitecto Azure</t>
  </si>
  <si>
    <t xml:space="preserve">Accesos y seguridad validados</t>
  </si>
  <si>
    <t xml:space="preserve">Validación con usuarios clave (UAT)</t>
  </si>
  <si>
    <t xml:space="preserve">Sesiones de prueba con usuarios representativos de cada área, recolección de feedback.</t>
  </si>
  <si>
    <t xml:space="preserve">Sem. 10</t>
  </si>
  <si>
    <t xml:space="preserve">Analista de Negocio</t>
  </si>
  <si>
    <t xml:space="preserve">Líder de Proyecto, Ingeniero de IA/ML</t>
  </si>
  <si>
    <t xml:space="preserve">Reporte UAT y lista de ajustes</t>
  </si>
  <si>
    <t xml:space="preserve">Ajustes y aprobación del PoC</t>
  </si>
  <si>
    <t xml:space="preserve">Corrección de observaciones del UAT, presentación de resultados a comité directivo y aprobación para producción.</t>
  </si>
  <si>
    <t xml:space="preserve">Sem. 11</t>
  </si>
  <si>
    <t xml:space="preserve">Arquitecto Azure, Director de TI</t>
  </si>
  <si>
    <t xml:space="preserve">Aprobación formal del PoC</t>
  </si>
  <si>
    <t xml:space="preserve">Fase 3</t>
  </si>
  <si>
    <t xml:space="preserve">Aprovisionamiento de ambiente de producción</t>
  </si>
  <si>
    <t xml:space="preserve">Despliegue de infraestructura de producción: Azure OpenAI, AI Search, Document Intelligence, Vision &amp; Speech.</t>
  </si>
  <si>
    <t xml:space="preserve">Sem. 12</t>
  </si>
  <si>
    <t xml:space="preserve">Sem. 14</t>
  </si>
  <si>
    <t xml:space="preserve">Arquitecto Azure, Especialista en Seguridad</t>
  </si>
  <si>
    <t xml:space="preserve">Ambiente de producción configurado</t>
  </si>
  <si>
    <t xml:space="preserve">Implementación de Azure OpenAI / GPT-4</t>
  </si>
  <si>
    <t xml:space="preserve">Despliegue de modelos GPT-4o en producción, configuración de RAG con datos corporativos.</t>
  </si>
  <si>
    <t xml:space="preserve">Sem. 17</t>
  </si>
  <si>
    <t xml:space="preserve">4</t>
  </si>
  <si>
    <t xml:space="preserve">Servicio GPT-4 en producción</t>
  </si>
  <si>
    <t xml:space="preserve">Implementación de Azure AI Search</t>
  </si>
  <si>
    <t xml:space="preserve">Indexación de repositorios corporativos (SharePoint, Blob, SQL), configuración de búsqueda semántica.</t>
  </si>
  <si>
    <t xml:space="preserve">Sem. 15</t>
  </si>
  <si>
    <t xml:space="preserve">Sem. 18</t>
  </si>
  <si>
    <t xml:space="preserve">Ingeniero de Infraestructura, Desarrollador de Software</t>
  </si>
  <si>
    <t xml:space="preserve">Motor de búsqueda operativo</t>
  </si>
  <si>
    <t xml:space="preserve">Implementación de Document Intelligence</t>
  </si>
  <si>
    <t xml:space="preserve">Configuración de modelos de extracción para facturas, contratos y formularios; integración con ERP.</t>
  </si>
  <si>
    <t xml:space="preserve">Sem. 16</t>
  </si>
  <si>
    <t xml:space="preserve">Sem. 19</t>
  </si>
  <si>
    <t xml:space="preserve">Desarrollador de Software</t>
  </si>
  <si>
    <t xml:space="preserve">Ingeniero de IA/ML, Analista de Negocio</t>
  </si>
  <si>
    <t xml:space="preserve">Flujo de automatización documental</t>
  </si>
  <si>
    <t xml:space="preserve">Implementación de Vision &amp; Speech</t>
  </si>
  <si>
    <t xml:space="preserve">Despliegue de servicios de visión computacional y transcripción de audio; integración con procesos operativos.</t>
  </si>
  <si>
    <t xml:space="preserve">Sem. 20</t>
  </si>
  <si>
    <t xml:space="preserve">Ingeniero de IA/ML, Arquitecto Azure</t>
  </si>
  <si>
    <t xml:space="preserve">Servicios Vision/Speech activos</t>
  </si>
  <si>
    <t xml:space="preserve">Integración con sistemas legados</t>
  </si>
  <si>
    <t xml:space="preserve">Conexión de los servicios de IA con ERP, CRM, Power Platform y APIs corporativas existentes.</t>
  </si>
  <si>
    <t xml:space="preserve">Sem. 21</t>
  </si>
  <si>
    <t xml:space="preserve">Arquitecto Azure, Analista de Negocio</t>
  </si>
  <si>
    <t xml:space="preserve">Integraciones validadas</t>
  </si>
  <si>
    <t xml:space="preserve">Configuración de monitoreo y alertas</t>
  </si>
  <si>
    <t xml:space="preserve">Implementación de Azure Monitor, Log Analytics, dashboards operativos y alertas de disponibilidad.</t>
  </si>
  <si>
    <t xml:space="preserve">Sem. 23</t>
  </si>
  <si>
    <t xml:space="preserve">Especialista en Seguridad, Arquitecto Azure</t>
  </si>
  <si>
    <t xml:space="preserve">Dashboard de monitoreo activo</t>
  </si>
  <si>
    <t xml:space="preserve">Pruebas de carga y performance</t>
  </si>
  <si>
    <t xml:space="preserve">Pruebas de estrés y rendimiento en ambiente de producción; ajuste de escalabilidad automática.</t>
  </si>
  <si>
    <t xml:space="preserve">Sem. 22</t>
  </si>
  <si>
    <t xml:space="preserve">Sem. 24</t>
  </si>
  <si>
    <t xml:space="preserve">Ingeniero de IA/ML, Desarrollador de Software</t>
  </si>
  <si>
    <t xml:space="preserve">Reporte de performance y SLAs</t>
  </si>
  <si>
    <t xml:space="preserve">Fase 4</t>
  </si>
  <si>
    <t xml:space="preserve">Capacitación de equipos técnicos</t>
  </si>
  <si>
    <t xml:space="preserve">Talleres de formación para el equipo de TI en administración, monitoreo y troubleshooting de los servicios Azure AI.</t>
  </si>
  <si>
    <t xml:space="preserve">Sem. 25</t>
  </si>
  <si>
    <t xml:space="preserve">Sem. 26</t>
  </si>
  <si>
    <t xml:space="preserve">Arquitecto Azure, Especialista en Capacitación</t>
  </si>
  <si>
    <t xml:space="preserve">Equipo técnico certificado</t>
  </si>
  <si>
    <t xml:space="preserve">Capacitación de usuarios de negocio</t>
  </si>
  <si>
    <t xml:space="preserve">Sesiones de adopción para usuarios finales de cada área de negocio con los nuevos servicios de IA.</t>
  </si>
  <si>
    <t xml:space="preserve">Sem. 27</t>
  </si>
  <si>
    <t xml:space="preserve">Líder de Proyecto, Especialista en Capacitación</t>
  </si>
  <si>
    <t xml:space="preserve">Material de capacitación y sesiones realizadas</t>
  </si>
  <si>
    <t xml:space="preserve">Fine-tuning y optimización de modelos</t>
  </si>
  <si>
    <t xml:space="preserve">Ajuste de modelos GPT-4 y Document Intelligence con datos propios; mejora de precisión basada en retroalimentación.</t>
  </si>
  <si>
    <t xml:space="preserve">Sem. 28</t>
  </si>
  <si>
    <t xml:space="preserve">Sem. 32</t>
  </si>
  <si>
    <t xml:space="preserve">5</t>
  </si>
  <si>
    <t xml:space="preserve">Desarrollador de Software, Analista de Negocio</t>
  </si>
  <si>
    <t xml:space="preserve">Modelos optimizados con métricas de mejora</t>
  </si>
  <si>
    <t xml:space="preserve">Expansión a nuevas áreas de negocio</t>
  </si>
  <si>
    <t xml:space="preserve">Identificación e implementación de nuevos casos de uso en áreas adicionales (Finanzas, RRHH, Operaciones, etc.).</t>
  </si>
  <si>
    <t xml:space="preserve">Sem. 30</t>
  </si>
  <si>
    <t xml:space="preserve">Sem. 36</t>
  </si>
  <si>
    <t xml:space="preserve">7</t>
  </si>
  <si>
    <t xml:space="preserve">Arquitecto Azure, Ingeniero de IA/ML, Analista de Negocio</t>
  </si>
  <si>
    <t xml:space="preserve">Nuevos casos de uso en producción</t>
  </si>
  <si>
    <t xml:space="preserve">Revisión de seguridad y cumplimiento</t>
  </si>
  <si>
    <t xml:space="preserve">Auditoría periódica de controles de seguridad, revisión de políticas de acceso y cumplimiento regulatorio.</t>
  </si>
  <si>
    <t xml:space="preserve">Sem. 33</t>
  </si>
  <si>
    <t xml:space="preserve">Reporte de auditoría de seguridad</t>
  </si>
  <si>
    <t xml:space="preserve">Reporte de valor y ROI</t>
  </si>
  <si>
    <t xml:space="preserve">Medición de KPIs definidos en Fase 1, cuantificación de ahorros y productividad; presentación a dirección.</t>
  </si>
  <si>
    <t xml:space="preserve">Analista de Negocio, Sponsor Ejecutivo</t>
  </si>
  <si>
    <t xml:space="preserve">Reporte ejecutivo de ROI</t>
  </si>
  <si>
    <t xml:space="preserve">TOTAL DE ACTIVIDADES: 24</t>
  </si>
  <si>
    <t xml:space="preserve">Resumen de Carga por Responsable</t>
  </si>
  <si>
    <t xml:space="preserve">Cantidad de actividades asignadas por rol</t>
  </si>
  <si>
    <t xml:space="preserve">Responsable / Rol</t>
  </si>
  <si>
    <t xml:space="preserve">Actividades como Principal</t>
  </si>
  <si>
    <t xml:space="preserve">Actividades como Apoyo</t>
  </si>
  <si>
    <t xml:space="preserve">Total Actividades</t>
  </si>
  <si>
    <t xml:space="preserve">Fases Involucradas</t>
  </si>
  <si>
    <t xml:space="preserve">% de Participación</t>
  </si>
  <si>
    <t xml:space="preserve">Fase 1, Fase 2, Fase 4</t>
  </si>
  <si>
    <t xml:space="preserve">Fase 1, Fase 2, Fase 3, Fase 4</t>
  </si>
  <si>
    <t xml:space="preserve">Fase 1, Fase 2, Fase 3</t>
  </si>
  <si>
    <t xml:space="preserve">Fase 2, Fase 3, Fase 4</t>
  </si>
  <si>
    <t xml:space="preserve">Director de TI</t>
  </si>
  <si>
    <t xml:space="preserve">Sponsor Ejecutivo</t>
  </si>
  <si>
    <t xml:space="preserve">Fase 1, Fase 4</t>
  </si>
  <si>
    <t xml:space="preserve">Especialista en Capacitación</t>
  </si>
  <si>
    <t xml:space="preserve">TOTAL</t>
  </si>
  <si>
    <t xml:space="preserve">Leyenda, Roles y Notas del Proyecto</t>
  </si>
  <si>
    <t xml:space="preserve">Guía de referencia para el Plan de Implementación</t>
  </si>
  <si>
    <t xml:space="preserve">FASES DEL PROYECTO</t>
  </si>
  <si>
    <t xml:space="preserve">Fase 1 — Diagnóstico y Arquitectura</t>
  </si>
  <si>
    <t xml:space="preserve">Semanas 1–5: Análisis, diseño y planificación inicial del proyecto.</t>
  </si>
  <si>
    <t xml:space="preserve">Fase 2 — Prueba de Concepto (PoC)</t>
  </si>
  <si>
    <t xml:space="preserve">Semanas 5–11: Implementación piloto del caso de uso prioritario y validación.</t>
  </si>
  <si>
    <t xml:space="preserve">Fase 3 — Implementación Core</t>
  </si>
  <si>
    <t xml:space="preserve">Semanas 12–24: Despliegue de todos los servicios en producción e integraciones.</t>
  </si>
  <si>
    <t xml:space="preserve">Fase 4 — Escala y Optimización</t>
  </si>
  <si>
    <t xml:space="preserve">Semanas 25–36+: Expansión, capacitación, ajuste de modelos y medición de ROI.</t>
  </si>
  <si>
    <t xml:space="preserve">ESTADOS DE ACTIVIDADES</t>
  </si>
  <si>
    <t xml:space="preserve">La actividad aún no ha comenzado.</t>
  </si>
  <si>
    <t xml:space="preserve">En Proceso</t>
  </si>
  <si>
    <t xml:space="preserve">La actividad está en ejecución actualmente.</t>
  </si>
  <si>
    <t xml:space="preserve">Completado</t>
  </si>
  <si>
    <t xml:space="preserve">La actividad fue finalizada exitosamente.</t>
  </si>
  <si>
    <t xml:space="preserve">Bloqueado</t>
  </si>
  <si>
    <t xml:space="preserve">La actividad tiene impedimentos que requieren atención.</t>
  </si>
  <si>
    <t xml:space="preserve">ROLES Y RESPONSABILIDADES</t>
  </si>
  <si>
    <t xml:space="preserve">Gestión general, comunicación con stakeholders, control de tiempos y entregables.</t>
  </si>
  <si>
    <t xml:space="preserve">Diseño de arquitectura cloud, definición de patrones técnicos y supervisión técnica.</t>
  </si>
  <si>
    <t xml:space="preserve">Implementación de modelos de IA, configuración de servicios cognitivos y RAG.</t>
  </si>
  <si>
    <t xml:space="preserve">Aprovisionamiento de recursos Azure, redes, almacenamiento y monitoreo.</t>
  </si>
  <si>
    <t xml:space="preserve">Desarrollo de integraciones, APIs, flujos de Power Automate y lógica de negocio.</t>
  </si>
  <si>
    <t xml:space="preserve">Configuración de seguridad, identidad, cumplimiento y auditoría.</t>
  </si>
  <si>
    <t xml:space="preserve">Levantamiento de requerimientos, UAT, documentación y capacitación de usuarios.</t>
  </si>
  <si>
    <t xml:space="preserve">Supervisión ejecutiva técnica, aprobaciones y alineación con estrategia corporativa.</t>
  </si>
  <si>
    <t xml:space="preserve">Patrocinio del proyecto, aprobación presupuestal y respaldo organizacional.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</si>
</sst>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50E6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003A6C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003A6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44444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3A6C"/>
        <bgColor rgb="FF002050"/>
      </patternFill>
    </fill>
    <fill>
      <patternFill patternType="solid">
        <fgColor rgb="FF50E6FF"/>
        <bgColor rgb="FF00FFFF"/>
      </patternFill>
    </fill>
    <fill>
      <patternFill patternType="solid">
        <fgColor rgb="FF0078D4"/>
        <bgColor rgb="FF005BA1"/>
      </patternFill>
    </fill>
    <fill>
      <patternFill patternType="solid">
        <fgColor rgb="FFD6EAF8"/>
        <bgColor rgb="FFD4EDDA"/>
      </patternFill>
    </fill>
    <fill>
      <patternFill patternType="solid">
        <fgColor rgb="FFF5F5F5"/>
        <bgColor rgb="FFF9F9F9"/>
      </patternFill>
    </fill>
    <fill>
      <patternFill patternType="solid">
        <fgColor rgb="FF005BA1"/>
        <bgColor rgb="FF0078D4"/>
      </patternFill>
    </fill>
    <fill>
      <patternFill patternType="solid">
        <fgColor rgb="FFC5DCF0"/>
        <bgColor rgb="FFD6EAF8"/>
      </patternFill>
    </fill>
    <fill>
      <patternFill patternType="solid">
        <fgColor rgb="FFB3CEE8"/>
        <bgColor rgb="FFC5DCF0"/>
      </patternFill>
    </fill>
    <fill>
      <patternFill patternType="solid">
        <fgColor rgb="FF002050"/>
        <bgColor rgb="FF003A6C"/>
      </patternFill>
    </fill>
    <fill>
      <patternFill patternType="solid">
        <fgColor rgb="FFA1C0E0"/>
        <bgColor rgb="FFB3CEE8"/>
      </patternFill>
    </fill>
    <fill>
      <patternFill patternType="solid">
        <fgColor rgb="FFFFFFFF"/>
        <bgColor rgb="FFF9F9F9"/>
      </patternFill>
    </fill>
    <fill>
      <patternFill patternType="solid">
        <fgColor rgb="FFF0F7FF"/>
        <bgColor rgb="FFF5F5F5"/>
      </patternFill>
    </fill>
    <fill>
      <patternFill patternType="solid">
        <fgColor rgb="FFF9F9F9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D4EDDA"/>
        <bgColor rgb="FFD6EAF8"/>
      </patternFill>
    </fill>
    <fill>
      <patternFill patternType="solid">
        <fgColor rgb="FFF8D7DA"/>
        <bgColor rgb="FFFFF3CD"/>
      </patternFill>
    </fill>
    <fill>
      <patternFill patternType="solid">
        <fgColor rgb="FFE8F4FD"/>
        <bgColor rgb="FFF0F7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ck">
        <color rgb="FF0078D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5BA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3A6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0205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2050"/>
      <rgbColor rgb="FF808000"/>
      <rgbColor rgb="FF800080"/>
      <rgbColor rgb="FF005BA1"/>
      <rgbColor rgb="FFCCCCCC"/>
      <rgbColor rgb="FF808080"/>
      <rgbColor rgb="FF9999FF"/>
      <rgbColor rgb="FF993366"/>
      <rgbColor rgb="FFFFF3CD"/>
      <rgbColor rgb="FFD6EAF8"/>
      <rgbColor rgb="FF660066"/>
      <rgbColor rgb="FFFF8080"/>
      <rgbColor rgb="FF0078D4"/>
      <rgbColor rgb="FFC5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D4EDDA"/>
      <rgbColor rgb="FFF5F5F5"/>
      <rgbColor rgb="FFA1C0E0"/>
      <rgbColor rgb="FFF0F7FF"/>
      <rgbColor rgb="FFB3CEE8"/>
      <rgbColor rgb="FFF8D7DA"/>
      <rgbColor rgb="FF3366FF"/>
      <rgbColor rgb="FF50E6FF"/>
      <rgbColor rgb="FF99CC00"/>
      <rgbColor rgb="FFFFCC00"/>
      <rgbColor rgb="FFFF9900"/>
      <rgbColor rgb="FFFF6600"/>
      <rgbColor rgb="FF555555"/>
      <rgbColor rgb="FF969696"/>
      <rgbColor rgb="FF003A6C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13"/>
  </cols>
  <sheetData>
    <row r="1" customFormat="false" ht="9.75" hidden="false" customHeight="true" outlineLevel="0" collapsed="false"/>
    <row r="2" customFormat="false" ht="42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3.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6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customFormat="false" ht="39.75" hidden="false" customHeight="true" outlineLevel="0" collapsed="false">
      <c r="A6" s="5" t="s">
        <v>13</v>
      </c>
      <c r="B6" s="6" t="n">
        <v>1</v>
      </c>
      <c r="C6" s="7" t="s">
        <v>14</v>
      </c>
      <c r="D6" s="8" t="s">
        <v>15</v>
      </c>
      <c r="E6" s="9" t="s">
        <v>16</v>
      </c>
      <c r="F6" s="9" t="s">
        <v>16</v>
      </c>
      <c r="G6" s="10" t="s">
        <v>17</v>
      </c>
      <c r="H6" s="11" t="s">
        <v>18</v>
      </c>
      <c r="I6" s="8" t="s">
        <v>19</v>
      </c>
      <c r="J6" s="8" t="s">
        <v>20</v>
      </c>
      <c r="K6" s="12" t="s">
        <v>21</v>
      </c>
    </row>
    <row r="7" customFormat="false" ht="39.75" hidden="false" customHeight="true" outlineLevel="0" collapsed="false">
      <c r="A7" s="5"/>
      <c r="B7" s="6" t="n">
        <v>2</v>
      </c>
      <c r="C7" s="7" t="s">
        <v>22</v>
      </c>
      <c r="D7" s="8" t="s">
        <v>23</v>
      </c>
      <c r="E7" s="9" t="s">
        <v>16</v>
      </c>
      <c r="F7" s="9" t="s">
        <v>24</v>
      </c>
      <c r="G7" s="10" t="s">
        <v>25</v>
      </c>
      <c r="H7" s="11" t="s">
        <v>26</v>
      </c>
      <c r="I7" s="8" t="s">
        <v>27</v>
      </c>
      <c r="J7" s="8" t="s">
        <v>28</v>
      </c>
      <c r="K7" s="12" t="s">
        <v>21</v>
      </c>
    </row>
    <row r="8" customFormat="false" ht="39.75" hidden="false" customHeight="true" outlineLevel="0" collapsed="false">
      <c r="A8" s="5"/>
      <c r="B8" s="6" t="n">
        <v>3</v>
      </c>
      <c r="C8" s="7" t="s">
        <v>29</v>
      </c>
      <c r="D8" s="8" t="s">
        <v>30</v>
      </c>
      <c r="E8" s="9" t="s">
        <v>24</v>
      </c>
      <c r="F8" s="9" t="s">
        <v>31</v>
      </c>
      <c r="G8" s="10" t="s">
        <v>25</v>
      </c>
      <c r="H8" s="11" t="s">
        <v>26</v>
      </c>
      <c r="I8" s="8" t="s">
        <v>32</v>
      </c>
      <c r="J8" s="8" t="s">
        <v>33</v>
      </c>
      <c r="K8" s="12" t="s">
        <v>21</v>
      </c>
    </row>
    <row r="9" customFormat="false" ht="39.75" hidden="false" customHeight="true" outlineLevel="0" collapsed="false">
      <c r="A9" s="5"/>
      <c r="B9" s="6" t="n">
        <v>4</v>
      </c>
      <c r="C9" s="7" t="s">
        <v>34</v>
      </c>
      <c r="D9" s="8" t="s">
        <v>35</v>
      </c>
      <c r="E9" s="9" t="s">
        <v>31</v>
      </c>
      <c r="F9" s="9" t="s">
        <v>36</v>
      </c>
      <c r="G9" s="10" t="s">
        <v>25</v>
      </c>
      <c r="H9" s="11" t="s">
        <v>26</v>
      </c>
      <c r="I9" s="8" t="s">
        <v>37</v>
      </c>
      <c r="J9" s="8" t="s">
        <v>38</v>
      </c>
      <c r="K9" s="12" t="s">
        <v>21</v>
      </c>
    </row>
    <row r="10" customFormat="false" ht="39.75" hidden="false" customHeight="true" outlineLevel="0" collapsed="false">
      <c r="A10" s="5"/>
      <c r="B10" s="6" t="n">
        <v>5</v>
      </c>
      <c r="C10" s="7" t="s">
        <v>39</v>
      </c>
      <c r="D10" s="8" t="s">
        <v>40</v>
      </c>
      <c r="E10" s="9" t="s">
        <v>36</v>
      </c>
      <c r="F10" s="9" t="s">
        <v>41</v>
      </c>
      <c r="G10" s="10" t="s">
        <v>25</v>
      </c>
      <c r="H10" s="11" t="s">
        <v>42</v>
      </c>
      <c r="I10" s="8" t="s">
        <v>43</v>
      </c>
      <c r="J10" s="8" t="s">
        <v>44</v>
      </c>
      <c r="K10" s="12" t="s">
        <v>21</v>
      </c>
    </row>
    <row r="11" customFormat="false" ht="39.75" hidden="false" customHeight="true" outlineLevel="0" collapsed="false">
      <c r="A11" s="13" t="s">
        <v>45</v>
      </c>
      <c r="B11" s="14" t="n">
        <v>6</v>
      </c>
      <c r="C11" s="15" t="s">
        <v>46</v>
      </c>
      <c r="D11" s="16" t="s">
        <v>47</v>
      </c>
      <c r="E11" s="17" t="s">
        <v>41</v>
      </c>
      <c r="F11" s="17" t="s">
        <v>48</v>
      </c>
      <c r="G11" s="18" t="s">
        <v>25</v>
      </c>
      <c r="H11" s="19" t="s">
        <v>49</v>
      </c>
      <c r="I11" s="16" t="s">
        <v>50</v>
      </c>
      <c r="J11" s="16" t="s">
        <v>51</v>
      </c>
      <c r="K11" s="12" t="s">
        <v>21</v>
      </c>
    </row>
    <row r="12" customFormat="false" ht="39.75" hidden="false" customHeight="true" outlineLevel="0" collapsed="false">
      <c r="A12" s="13"/>
      <c r="B12" s="14" t="n">
        <v>7</v>
      </c>
      <c r="C12" s="15" t="s">
        <v>52</v>
      </c>
      <c r="D12" s="16" t="s">
        <v>53</v>
      </c>
      <c r="E12" s="17" t="s">
        <v>48</v>
      </c>
      <c r="F12" s="17" t="s">
        <v>54</v>
      </c>
      <c r="G12" s="18" t="s">
        <v>55</v>
      </c>
      <c r="H12" s="19" t="s">
        <v>56</v>
      </c>
      <c r="I12" s="16" t="s">
        <v>57</v>
      </c>
      <c r="J12" s="16" t="s">
        <v>58</v>
      </c>
      <c r="K12" s="12" t="s">
        <v>21</v>
      </c>
    </row>
    <row r="13" customFormat="false" ht="39.75" hidden="false" customHeight="true" outlineLevel="0" collapsed="false">
      <c r="A13" s="13"/>
      <c r="B13" s="14" t="n">
        <v>8</v>
      </c>
      <c r="C13" s="15" t="s">
        <v>59</v>
      </c>
      <c r="D13" s="16" t="s">
        <v>60</v>
      </c>
      <c r="E13" s="17" t="s">
        <v>61</v>
      </c>
      <c r="F13" s="17" t="s">
        <v>62</v>
      </c>
      <c r="G13" s="18" t="s">
        <v>55</v>
      </c>
      <c r="H13" s="19" t="s">
        <v>42</v>
      </c>
      <c r="I13" s="16" t="s">
        <v>63</v>
      </c>
      <c r="J13" s="16" t="s">
        <v>64</v>
      </c>
      <c r="K13" s="12" t="s">
        <v>21</v>
      </c>
    </row>
    <row r="14" customFormat="false" ht="39.75" hidden="false" customHeight="true" outlineLevel="0" collapsed="false">
      <c r="A14" s="13"/>
      <c r="B14" s="14" t="n">
        <v>9</v>
      </c>
      <c r="C14" s="15" t="s">
        <v>65</v>
      </c>
      <c r="D14" s="16" t="s">
        <v>66</v>
      </c>
      <c r="E14" s="17" t="s">
        <v>62</v>
      </c>
      <c r="F14" s="17" t="s">
        <v>67</v>
      </c>
      <c r="G14" s="18" t="s">
        <v>25</v>
      </c>
      <c r="H14" s="19" t="s">
        <v>68</v>
      </c>
      <c r="I14" s="16" t="s">
        <v>69</v>
      </c>
      <c r="J14" s="16" t="s">
        <v>70</v>
      </c>
      <c r="K14" s="12" t="s">
        <v>21</v>
      </c>
    </row>
    <row r="15" customFormat="false" ht="39.75" hidden="false" customHeight="true" outlineLevel="0" collapsed="false">
      <c r="A15" s="13"/>
      <c r="B15" s="14" t="n">
        <v>10</v>
      </c>
      <c r="C15" s="15" t="s">
        <v>71</v>
      </c>
      <c r="D15" s="16" t="s">
        <v>72</v>
      </c>
      <c r="E15" s="17" t="s">
        <v>67</v>
      </c>
      <c r="F15" s="17" t="s">
        <v>73</v>
      </c>
      <c r="G15" s="18" t="s">
        <v>25</v>
      </c>
      <c r="H15" s="19" t="s">
        <v>18</v>
      </c>
      <c r="I15" s="16" t="s">
        <v>74</v>
      </c>
      <c r="J15" s="16" t="s">
        <v>75</v>
      </c>
      <c r="K15" s="12" t="s">
        <v>21</v>
      </c>
    </row>
    <row r="16" customFormat="false" ht="39.75" hidden="false" customHeight="true" outlineLevel="0" collapsed="false">
      <c r="A16" s="20" t="s">
        <v>76</v>
      </c>
      <c r="B16" s="21" t="n">
        <v>11</v>
      </c>
      <c r="C16" s="22" t="s">
        <v>77</v>
      </c>
      <c r="D16" s="23" t="s">
        <v>78</v>
      </c>
      <c r="E16" s="24" t="s">
        <v>79</v>
      </c>
      <c r="F16" s="24" t="s">
        <v>80</v>
      </c>
      <c r="G16" s="25" t="s">
        <v>55</v>
      </c>
      <c r="H16" s="26" t="s">
        <v>49</v>
      </c>
      <c r="I16" s="23" t="s">
        <v>81</v>
      </c>
      <c r="J16" s="23" t="s">
        <v>82</v>
      </c>
      <c r="K16" s="12" t="s">
        <v>21</v>
      </c>
    </row>
    <row r="17" customFormat="false" ht="39.75" hidden="false" customHeight="true" outlineLevel="0" collapsed="false">
      <c r="A17" s="20"/>
      <c r="B17" s="21" t="n">
        <v>12</v>
      </c>
      <c r="C17" s="22" t="s">
        <v>83</v>
      </c>
      <c r="D17" s="23" t="s">
        <v>84</v>
      </c>
      <c r="E17" s="24" t="s">
        <v>80</v>
      </c>
      <c r="F17" s="24" t="s">
        <v>85</v>
      </c>
      <c r="G17" s="25" t="s">
        <v>86</v>
      </c>
      <c r="H17" s="26" t="s">
        <v>56</v>
      </c>
      <c r="I17" s="23" t="s">
        <v>57</v>
      </c>
      <c r="J17" s="23" t="s">
        <v>87</v>
      </c>
      <c r="K17" s="12" t="s">
        <v>21</v>
      </c>
    </row>
    <row r="18" customFormat="false" ht="39.75" hidden="false" customHeight="true" outlineLevel="0" collapsed="false">
      <c r="A18" s="20"/>
      <c r="B18" s="21" t="n">
        <v>13</v>
      </c>
      <c r="C18" s="22" t="s">
        <v>88</v>
      </c>
      <c r="D18" s="23" t="s">
        <v>89</v>
      </c>
      <c r="E18" s="24" t="s">
        <v>90</v>
      </c>
      <c r="F18" s="24" t="s">
        <v>91</v>
      </c>
      <c r="G18" s="25" t="s">
        <v>86</v>
      </c>
      <c r="H18" s="26" t="s">
        <v>56</v>
      </c>
      <c r="I18" s="23" t="s">
        <v>92</v>
      </c>
      <c r="J18" s="23" t="s">
        <v>93</v>
      </c>
      <c r="K18" s="12" t="s">
        <v>21</v>
      </c>
    </row>
    <row r="19" customFormat="false" ht="39.75" hidden="false" customHeight="true" outlineLevel="0" collapsed="false">
      <c r="A19" s="20"/>
      <c r="B19" s="21" t="n">
        <v>14</v>
      </c>
      <c r="C19" s="22" t="s">
        <v>94</v>
      </c>
      <c r="D19" s="23" t="s">
        <v>95</v>
      </c>
      <c r="E19" s="24" t="s">
        <v>96</v>
      </c>
      <c r="F19" s="24" t="s">
        <v>97</v>
      </c>
      <c r="G19" s="25" t="s">
        <v>86</v>
      </c>
      <c r="H19" s="26" t="s">
        <v>98</v>
      </c>
      <c r="I19" s="23" t="s">
        <v>99</v>
      </c>
      <c r="J19" s="23" t="s">
        <v>100</v>
      </c>
      <c r="K19" s="12" t="s">
        <v>21</v>
      </c>
    </row>
    <row r="20" customFormat="false" ht="39.75" hidden="false" customHeight="true" outlineLevel="0" collapsed="false">
      <c r="A20" s="20"/>
      <c r="B20" s="21" t="n">
        <v>15</v>
      </c>
      <c r="C20" s="22" t="s">
        <v>101</v>
      </c>
      <c r="D20" s="23" t="s">
        <v>102</v>
      </c>
      <c r="E20" s="24" t="s">
        <v>85</v>
      </c>
      <c r="F20" s="24" t="s">
        <v>103</v>
      </c>
      <c r="G20" s="25" t="s">
        <v>86</v>
      </c>
      <c r="H20" s="26" t="s">
        <v>98</v>
      </c>
      <c r="I20" s="23" t="s">
        <v>104</v>
      </c>
      <c r="J20" s="23" t="s">
        <v>105</v>
      </c>
      <c r="K20" s="12" t="s">
        <v>21</v>
      </c>
    </row>
    <row r="21" customFormat="false" ht="39.75" hidden="false" customHeight="true" outlineLevel="0" collapsed="false">
      <c r="A21" s="20"/>
      <c r="B21" s="21" t="n">
        <v>16</v>
      </c>
      <c r="C21" s="22" t="s">
        <v>106</v>
      </c>
      <c r="D21" s="23" t="s">
        <v>107</v>
      </c>
      <c r="E21" s="24" t="s">
        <v>91</v>
      </c>
      <c r="F21" s="24" t="s">
        <v>108</v>
      </c>
      <c r="G21" s="25" t="s">
        <v>86</v>
      </c>
      <c r="H21" s="26" t="s">
        <v>98</v>
      </c>
      <c r="I21" s="23" t="s">
        <v>109</v>
      </c>
      <c r="J21" s="23" t="s">
        <v>110</v>
      </c>
      <c r="K21" s="12" t="s">
        <v>21</v>
      </c>
    </row>
    <row r="22" customFormat="false" ht="39.75" hidden="false" customHeight="true" outlineLevel="0" collapsed="false">
      <c r="A22" s="20"/>
      <c r="B22" s="21" t="n">
        <v>17</v>
      </c>
      <c r="C22" s="22" t="s">
        <v>111</v>
      </c>
      <c r="D22" s="23" t="s">
        <v>112</v>
      </c>
      <c r="E22" s="24" t="s">
        <v>108</v>
      </c>
      <c r="F22" s="24" t="s">
        <v>113</v>
      </c>
      <c r="G22" s="25" t="s">
        <v>55</v>
      </c>
      <c r="H22" s="26" t="s">
        <v>49</v>
      </c>
      <c r="I22" s="23" t="s">
        <v>114</v>
      </c>
      <c r="J22" s="23" t="s">
        <v>115</v>
      </c>
      <c r="K22" s="12" t="s">
        <v>21</v>
      </c>
    </row>
    <row r="23" customFormat="false" ht="39.75" hidden="false" customHeight="true" outlineLevel="0" collapsed="false">
      <c r="A23" s="20"/>
      <c r="B23" s="21" t="n">
        <v>18</v>
      </c>
      <c r="C23" s="22" t="s">
        <v>116</v>
      </c>
      <c r="D23" s="23" t="s">
        <v>117</v>
      </c>
      <c r="E23" s="24" t="s">
        <v>118</v>
      </c>
      <c r="F23" s="24" t="s">
        <v>119</v>
      </c>
      <c r="G23" s="25" t="s">
        <v>55</v>
      </c>
      <c r="H23" s="26" t="s">
        <v>49</v>
      </c>
      <c r="I23" s="23" t="s">
        <v>120</v>
      </c>
      <c r="J23" s="23" t="s">
        <v>121</v>
      </c>
      <c r="K23" s="12" t="s">
        <v>21</v>
      </c>
    </row>
    <row r="24" customFormat="false" ht="39.75" hidden="false" customHeight="true" outlineLevel="0" collapsed="false">
      <c r="A24" s="27" t="s">
        <v>122</v>
      </c>
      <c r="B24" s="28" t="n">
        <v>19</v>
      </c>
      <c r="C24" s="29" t="s">
        <v>123</v>
      </c>
      <c r="D24" s="30" t="s">
        <v>124</v>
      </c>
      <c r="E24" s="31" t="s">
        <v>125</v>
      </c>
      <c r="F24" s="31" t="s">
        <v>126</v>
      </c>
      <c r="G24" s="32" t="s">
        <v>25</v>
      </c>
      <c r="H24" s="33" t="s">
        <v>18</v>
      </c>
      <c r="I24" s="30" t="s">
        <v>127</v>
      </c>
      <c r="J24" s="30" t="s">
        <v>128</v>
      </c>
      <c r="K24" s="12" t="s">
        <v>21</v>
      </c>
    </row>
    <row r="25" customFormat="false" ht="39.75" hidden="false" customHeight="true" outlineLevel="0" collapsed="false">
      <c r="A25" s="27"/>
      <c r="B25" s="28" t="n">
        <v>20</v>
      </c>
      <c r="C25" s="29" t="s">
        <v>129</v>
      </c>
      <c r="D25" s="30" t="s">
        <v>130</v>
      </c>
      <c r="E25" s="31" t="s">
        <v>126</v>
      </c>
      <c r="F25" s="31" t="s">
        <v>131</v>
      </c>
      <c r="G25" s="32" t="s">
        <v>25</v>
      </c>
      <c r="H25" s="33" t="s">
        <v>68</v>
      </c>
      <c r="I25" s="30" t="s">
        <v>132</v>
      </c>
      <c r="J25" s="30" t="s">
        <v>133</v>
      </c>
      <c r="K25" s="12" t="s">
        <v>21</v>
      </c>
    </row>
    <row r="26" customFormat="false" ht="39.75" hidden="false" customHeight="true" outlineLevel="0" collapsed="false">
      <c r="A26" s="27"/>
      <c r="B26" s="28" t="n">
        <v>21</v>
      </c>
      <c r="C26" s="29" t="s">
        <v>134</v>
      </c>
      <c r="D26" s="30" t="s">
        <v>135</v>
      </c>
      <c r="E26" s="31" t="s">
        <v>136</v>
      </c>
      <c r="F26" s="31" t="s">
        <v>137</v>
      </c>
      <c r="G26" s="32" t="s">
        <v>138</v>
      </c>
      <c r="H26" s="33" t="s">
        <v>56</v>
      </c>
      <c r="I26" s="30" t="s">
        <v>139</v>
      </c>
      <c r="J26" s="30" t="s">
        <v>140</v>
      </c>
      <c r="K26" s="12" t="s">
        <v>21</v>
      </c>
    </row>
    <row r="27" customFormat="false" ht="39.75" hidden="false" customHeight="true" outlineLevel="0" collapsed="false">
      <c r="A27" s="27"/>
      <c r="B27" s="28" t="n">
        <v>22</v>
      </c>
      <c r="C27" s="29" t="s">
        <v>141</v>
      </c>
      <c r="D27" s="30" t="s">
        <v>142</v>
      </c>
      <c r="E27" s="31" t="s">
        <v>143</v>
      </c>
      <c r="F27" s="31" t="s">
        <v>144</v>
      </c>
      <c r="G27" s="32" t="s">
        <v>145</v>
      </c>
      <c r="H27" s="33" t="s">
        <v>18</v>
      </c>
      <c r="I27" s="30" t="s">
        <v>146</v>
      </c>
      <c r="J27" s="30" t="s">
        <v>147</v>
      </c>
      <c r="K27" s="12" t="s">
        <v>21</v>
      </c>
    </row>
    <row r="28" customFormat="false" ht="39.75" hidden="false" customHeight="true" outlineLevel="0" collapsed="false">
      <c r="A28" s="27"/>
      <c r="B28" s="28" t="n">
        <v>23</v>
      </c>
      <c r="C28" s="29" t="s">
        <v>148</v>
      </c>
      <c r="D28" s="30" t="s">
        <v>149</v>
      </c>
      <c r="E28" s="31" t="s">
        <v>137</v>
      </c>
      <c r="F28" s="31" t="s">
        <v>150</v>
      </c>
      <c r="G28" s="32" t="s">
        <v>25</v>
      </c>
      <c r="H28" s="33" t="s">
        <v>42</v>
      </c>
      <c r="I28" s="30" t="s">
        <v>74</v>
      </c>
      <c r="J28" s="30" t="s">
        <v>151</v>
      </c>
      <c r="K28" s="12" t="s">
        <v>21</v>
      </c>
    </row>
    <row r="29" customFormat="false" ht="39.75" hidden="false" customHeight="true" outlineLevel="0" collapsed="false">
      <c r="A29" s="27"/>
      <c r="B29" s="28" t="n">
        <v>24</v>
      </c>
      <c r="C29" s="29" t="s">
        <v>152</v>
      </c>
      <c r="D29" s="30" t="s">
        <v>153</v>
      </c>
      <c r="E29" s="31" t="s">
        <v>144</v>
      </c>
      <c r="F29" s="31" t="s">
        <v>144</v>
      </c>
      <c r="G29" s="32" t="s">
        <v>17</v>
      </c>
      <c r="H29" s="33" t="s">
        <v>18</v>
      </c>
      <c r="I29" s="30" t="s">
        <v>154</v>
      </c>
      <c r="J29" s="30" t="s">
        <v>155</v>
      </c>
      <c r="K29" s="12" t="s">
        <v>21</v>
      </c>
    </row>
    <row r="30" customFormat="false" ht="25.5" hidden="false" customHeight="true" outlineLevel="0" collapsed="false">
      <c r="A30" s="34" t="s">
        <v>156</v>
      </c>
      <c r="B30" s="34"/>
      <c r="C30" s="34"/>
      <c r="D30" s="34"/>
      <c r="E30" s="34"/>
      <c r="F30" s="34"/>
      <c r="G30" s="35" t="n">
        <f aca="false">SUM(G6:G29)</f>
        <v>0</v>
      </c>
      <c r="H30" s="36"/>
      <c r="I30" s="36"/>
      <c r="J30" s="36"/>
      <c r="K30" s="36"/>
    </row>
  </sheetData>
  <mergeCells count="8">
    <mergeCell ref="A2:K2"/>
    <mergeCell ref="A3:K3"/>
    <mergeCell ref="A4:K4"/>
    <mergeCell ref="A6:A10"/>
    <mergeCell ref="A11:A15"/>
    <mergeCell ref="A16:A23"/>
    <mergeCell ref="A24:A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9.75" hidden="false" customHeight="true" outlineLevel="0" collapsed="false"/>
    <row r="2" customFormat="false" ht="42" hidden="false" customHeight="true" outlineLevel="0" collapsed="false">
      <c r="A2" s="37" t="s">
        <v>157</v>
      </c>
      <c r="B2" s="37"/>
      <c r="C2" s="37"/>
      <c r="D2" s="37"/>
      <c r="E2" s="37"/>
      <c r="F2" s="37"/>
    </row>
    <row r="3" customFormat="false" ht="21.75" hidden="false" customHeight="true" outlineLevel="0" collapsed="false">
      <c r="A3" s="2" t="s">
        <v>158</v>
      </c>
      <c r="B3" s="2"/>
      <c r="C3" s="2"/>
      <c r="D3" s="2"/>
      <c r="E3" s="2"/>
      <c r="F3" s="2"/>
    </row>
    <row r="4" customFormat="false" ht="13.5" hidden="false" customHeight="true" outlineLevel="0" collapsed="false">
      <c r="A4" s="3"/>
      <c r="B4" s="3"/>
      <c r="C4" s="3"/>
      <c r="D4" s="3"/>
      <c r="E4" s="3"/>
      <c r="F4" s="3"/>
    </row>
    <row r="5" customFormat="false" ht="33.75" hidden="false" customHeight="true" outlineLevel="0" collapsed="false">
      <c r="A5" s="4" t="s">
        <v>159</v>
      </c>
      <c r="B5" s="4" t="s">
        <v>160</v>
      </c>
      <c r="C5" s="4" t="s">
        <v>161</v>
      </c>
      <c r="D5" s="4" t="s">
        <v>162</v>
      </c>
      <c r="E5" s="4" t="s">
        <v>163</v>
      </c>
      <c r="F5" s="4" t="s">
        <v>164</v>
      </c>
    </row>
    <row r="6" customFormat="false" ht="27.75" hidden="false" customHeight="true" outlineLevel="0" collapsed="false">
      <c r="A6" s="38" t="s">
        <v>18</v>
      </c>
      <c r="B6" s="39" t="n">
        <v>5</v>
      </c>
      <c r="C6" s="39" t="n">
        <v>4</v>
      </c>
      <c r="D6" s="40" t="n">
        <v>9</v>
      </c>
      <c r="E6" s="41" t="s">
        <v>165</v>
      </c>
      <c r="F6" s="42" t="n">
        <f aca="false">D6/48*100</f>
        <v>18.75</v>
      </c>
    </row>
    <row r="7" customFormat="false" ht="27.75" hidden="false" customHeight="true" outlineLevel="0" collapsed="false">
      <c r="A7" s="43" t="s">
        <v>26</v>
      </c>
      <c r="B7" s="44" t="n">
        <v>3</v>
      </c>
      <c r="C7" s="44" t="n">
        <v>13</v>
      </c>
      <c r="D7" s="45" t="n">
        <v>16</v>
      </c>
      <c r="E7" s="46" t="s">
        <v>166</v>
      </c>
      <c r="F7" s="47" t="n">
        <f aca="false">D7/48*100</f>
        <v>33.3333333333333</v>
      </c>
    </row>
    <row r="8" customFormat="false" ht="27.75" hidden="false" customHeight="true" outlineLevel="0" collapsed="false">
      <c r="A8" s="38" t="s">
        <v>56</v>
      </c>
      <c r="B8" s="39" t="n">
        <v>4</v>
      </c>
      <c r="C8" s="39" t="n">
        <v>7</v>
      </c>
      <c r="D8" s="40" t="n">
        <v>11</v>
      </c>
      <c r="E8" s="41" t="s">
        <v>166</v>
      </c>
      <c r="F8" s="42" t="n">
        <f aca="false">D8/48*100</f>
        <v>22.9166666666667</v>
      </c>
    </row>
    <row r="9" customFormat="false" ht="27.75" hidden="false" customHeight="true" outlineLevel="0" collapsed="false">
      <c r="A9" s="43" t="s">
        <v>49</v>
      </c>
      <c r="B9" s="44" t="n">
        <v>4</v>
      </c>
      <c r="C9" s="44" t="n">
        <v>3</v>
      </c>
      <c r="D9" s="45" t="n">
        <v>7</v>
      </c>
      <c r="E9" s="46" t="s">
        <v>167</v>
      </c>
      <c r="F9" s="47" t="n">
        <f aca="false">D9/48*100</f>
        <v>14.5833333333333</v>
      </c>
    </row>
    <row r="10" customFormat="false" ht="27.75" hidden="false" customHeight="true" outlineLevel="0" collapsed="false">
      <c r="A10" s="38" t="s">
        <v>98</v>
      </c>
      <c r="B10" s="39" t="n">
        <v>3</v>
      </c>
      <c r="C10" s="39" t="n">
        <v>5</v>
      </c>
      <c r="D10" s="40" t="n">
        <v>8</v>
      </c>
      <c r="E10" s="41" t="s">
        <v>168</v>
      </c>
      <c r="F10" s="42" t="n">
        <f aca="false">D10/48*100</f>
        <v>16.6666666666667</v>
      </c>
    </row>
    <row r="11" customFormat="false" ht="27.75" hidden="false" customHeight="true" outlineLevel="0" collapsed="false">
      <c r="A11" s="43" t="s">
        <v>42</v>
      </c>
      <c r="B11" s="44" t="n">
        <v>3</v>
      </c>
      <c r="C11" s="44" t="n">
        <v>4</v>
      </c>
      <c r="D11" s="45" t="n">
        <v>7</v>
      </c>
      <c r="E11" s="46" t="s">
        <v>166</v>
      </c>
      <c r="F11" s="47" t="n">
        <f aca="false">D11/48*100</f>
        <v>14.5833333333333</v>
      </c>
    </row>
    <row r="12" customFormat="false" ht="27.75" hidden="false" customHeight="true" outlineLevel="0" collapsed="false">
      <c r="A12" s="38" t="s">
        <v>68</v>
      </c>
      <c r="B12" s="39" t="n">
        <v>2</v>
      </c>
      <c r="C12" s="39" t="n">
        <v>6</v>
      </c>
      <c r="D12" s="40" t="n">
        <v>8</v>
      </c>
      <c r="E12" s="41" t="s">
        <v>166</v>
      </c>
      <c r="F12" s="42" t="n">
        <f aca="false">D12/48*100</f>
        <v>16.6666666666667</v>
      </c>
    </row>
    <row r="13" customFormat="false" ht="27.75" hidden="false" customHeight="true" outlineLevel="0" collapsed="false">
      <c r="A13" s="43" t="s">
        <v>169</v>
      </c>
      <c r="B13" s="44" t="n">
        <v>0</v>
      </c>
      <c r="C13" s="44" t="n">
        <v>3</v>
      </c>
      <c r="D13" s="45" t="n">
        <v>3</v>
      </c>
      <c r="E13" s="46" t="s">
        <v>165</v>
      </c>
      <c r="F13" s="47" t="n">
        <f aca="false">D13/48*100</f>
        <v>6.25</v>
      </c>
    </row>
    <row r="14" customFormat="false" ht="27.75" hidden="false" customHeight="true" outlineLevel="0" collapsed="false">
      <c r="A14" s="38" t="s">
        <v>170</v>
      </c>
      <c r="B14" s="39" t="n">
        <v>0</v>
      </c>
      <c r="C14" s="39" t="n">
        <v>2</v>
      </c>
      <c r="D14" s="40" t="n">
        <v>2</v>
      </c>
      <c r="E14" s="41" t="s">
        <v>171</v>
      </c>
      <c r="F14" s="42" t="n">
        <f aca="false">D14/48*100</f>
        <v>4.16666666666667</v>
      </c>
    </row>
    <row r="15" customFormat="false" ht="27.75" hidden="false" customHeight="true" outlineLevel="0" collapsed="false">
      <c r="A15" s="43" t="s">
        <v>172</v>
      </c>
      <c r="B15" s="44" t="n">
        <v>0</v>
      </c>
      <c r="C15" s="44" t="n">
        <v>2</v>
      </c>
      <c r="D15" s="45" t="n">
        <v>2</v>
      </c>
      <c r="E15" s="46" t="s">
        <v>122</v>
      </c>
      <c r="F15" s="47" t="n">
        <f aca="false">D15/48*100</f>
        <v>4.16666666666667</v>
      </c>
    </row>
    <row r="16" customFormat="false" ht="27.75" hidden="false" customHeight="true" outlineLevel="0" collapsed="false">
      <c r="A16" s="48" t="s">
        <v>173</v>
      </c>
      <c r="B16" s="48"/>
      <c r="C16" s="48"/>
      <c r="D16" s="35" t="n">
        <f aca="false">SUM(D6:D15)</f>
        <v>73</v>
      </c>
      <c r="E16" s="35"/>
      <c r="F16" s="35"/>
    </row>
  </sheetData>
  <mergeCells count="4">
    <mergeCell ref="A2:F2"/>
    <mergeCell ref="A3:F3"/>
    <mergeCell ref="A4:F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0"/>
  </cols>
  <sheetData>
    <row r="2" customFormat="false" ht="42" hidden="false" customHeight="true" outlineLevel="0" collapsed="false">
      <c r="A2" s="37" t="s">
        <v>174</v>
      </c>
      <c r="B2" s="37"/>
      <c r="C2" s="37"/>
    </row>
    <row r="3" customFormat="false" ht="21.75" hidden="false" customHeight="true" outlineLevel="0" collapsed="false">
      <c r="A3" s="2" t="s">
        <v>175</v>
      </c>
      <c r="B3" s="2"/>
      <c r="C3" s="2"/>
    </row>
    <row r="4" customFormat="false" ht="13.5" hidden="false" customHeight="true" outlineLevel="0" collapsed="false">
      <c r="A4" s="3"/>
      <c r="B4" s="3"/>
      <c r="C4" s="3"/>
    </row>
    <row r="6" customFormat="false" ht="9.75" hidden="false" customHeight="true" outlineLevel="0" collapsed="false"/>
    <row r="7" customFormat="false" ht="25.5" hidden="false" customHeight="true" outlineLevel="0" collapsed="false">
      <c r="A7" s="49" t="s">
        <v>176</v>
      </c>
      <c r="B7" s="49"/>
      <c r="C7" s="49"/>
    </row>
    <row r="8" customFormat="false" ht="24" hidden="false" customHeight="true" outlineLevel="0" collapsed="false">
      <c r="A8" s="50"/>
      <c r="B8" s="51" t="s">
        <v>177</v>
      </c>
      <c r="C8" s="52" t="s">
        <v>178</v>
      </c>
    </row>
    <row r="9" customFormat="false" ht="24" hidden="false" customHeight="true" outlineLevel="0" collapsed="false">
      <c r="A9" s="53"/>
      <c r="B9" s="51" t="s">
        <v>179</v>
      </c>
      <c r="C9" s="52" t="s">
        <v>180</v>
      </c>
    </row>
    <row r="10" customFormat="false" ht="24" hidden="false" customHeight="true" outlineLevel="0" collapsed="false">
      <c r="A10" s="36"/>
      <c r="B10" s="51" t="s">
        <v>181</v>
      </c>
      <c r="C10" s="52" t="s">
        <v>182</v>
      </c>
    </row>
    <row r="11" customFormat="false" ht="24" hidden="false" customHeight="true" outlineLevel="0" collapsed="false">
      <c r="A11" s="54"/>
      <c r="B11" s="51" t="s">
        <v>183</v>
      </c>
      <c r="C11" s="52" t="s">
        <v>184</v>
      </c>
    </row>
    <row r="12" customFormat="false" ht="9.75" hidden="false" customHeight="true" outlineLevel="0" collapsed="false"/>
    <row r="13" customFormat="false" ht="25.5" hidden="false" customHeight="true" outlineLevel="0" collapsed="false">
      <c r="A13" s="49" t="s">
        <v>185</v>
      </c>
      <c r="B13" s="49"/>
      <c r="C13" s="49"/>
    </row>
    <row r="14" customFormat="false" ht="24" hidden="false" customHeight="true" outlineLevel="0" collapsed="false">
      <c r="A14" s="55"/>
      <c r="B14" s="51" t="s">
        <v>21</v>
      </c>
      <c r="C14" s="52" t="s">
        <v>186</v>
      </c>
    </row>
    <row r="15" customFormat="false" ht="24" hidden="false" customHeight="true" outlineLevel="0" collapsed="false">
      <c r="A15" s="56"/>
      <c r="B15" s="51" t="s">
        <v>187</v>
      </c>
      <c r="C15" s="52" t="s">
        <v>188</v>
      </c>
    </row>
    <row r="16" customFormat="false" ht="24" hidden="false" customHeight="true" outlineLevel="0" collapsed="false">
      <c r="A16" s="57"/>
      <c r="B16" s="51" t="s">
        <v>189</v>
      </c>
      <c r="C16" s="52" t="s">
        <v>190</v>
      </c>
    </row>
    <row r="17" customFormat="false" ht="24" hidden="false" customHeight="true" outlineLevel="0" collapsed="false">
      <c r="A17" s="58"/>
      <c r="B17" s="51" t="s">
        <v>191</v>
      </c>
      <c r="C17" s="52" t="s">
        <v>192</v>
      </c>
    </row>
    <row r="18" customFormat="false" ht="9.75" hidden="false" customHeight="true" outlineLevel="0" collapsed="false"/>
    <row r="19" customFormat="false" ht="25.5" hidden="false" customHeight="true" outlineLevel="0" collapsed="false">
      <c r="A19" s="49" t="s">
        <v>193</v>
      </c>
      <c r="B19" s="49"/>
      <c r="C19" s="49"/>
    </row>
    <row r="20" customFormat="false" ht="24" hidden="false" customHeight="true" outlineLevel="0" collapsed="false">
      <c r="A20" s="59"/>
      <c r="B20" s="51" t="s">
        <v>18</v>
      </c>
      <c r="C20" s="52" t="s">
        <v>194</v>
      </c>
    </row>
    <row r="21" customFormat="false" ht="24" hidden="false" customHeight="true" outlineLevel="0" collapsed="false">
      <c r="A21" s="59"/>
      <c r="B21" s="51" t="s">
        <v>26</v>
      </c>
      <c r="C21" s="52" t="s">
        <v>195</v>
      </c>
    </row>
    <row r="22" customFormat="false" ht="24" hidden="false" customHeight="true" outlineLevel="0" collapsed="false">
      <c r="A22" s="59"/>
      <c r="B22" s="51" t="s">
        <v>56</v>
      </c>
      <c r="C22" s="52" t="s">
        <v>196</v>
      </c>
    </row>
    <row r="23" customFormat="false" ht="24" hidden="false" customHeight="true" outlineLevel="0" collapsed="false">
      <c r="A23" s="59"/>
      <c r="B23" s="51" t="s">
        <v>49</v>
      </c>
      <c r="C23" s="52" t="s">
        <v>197</v>
      </c>
    </row>
    <row r="24" customFormat="false" ht="24" hidden="false" customHeight="true" outlineLevel="0" collapsed="false">
      <c r="A24" s="59"/>
      <c r="B24" s="51" t="s">
        <v>98</v>
      </c>
      <c r="C24" s="52" t="s">
        <v>198</v>
      </c>
    </row>
    <row r="25" customFormat="false" ht="24" hidden="false" customHeight="true" outlineLevel="0" collapsed="false">
      <c r="A25" s="59"/>
      <c r="B25" s="51" t="s">
        <v>42</v>
      </c>
      <c r="C25" s="52" t="s">
        <v>199</v>
      </c>
    </row>
    <row r="26" customFormat="false" ht="24" hidden="false" customHeight="true" outlineLevel="0" collapsed="false">
      <c r="A26" s="59"/>
      <c r="B26" s="51" t="s">
        <v>68</v>
      </c>
      <c r="C26" s="52" t="s">
        <v>200</v>
      </c>
    </row>
    <row r="27" customFormat="false" ht="24" hidden="false" customHeight="true" outlineLevel="0" collapsed="false">
      <c r="A27" s="59"/>
      <c r="B27" s="51" t="s">
        <v>169</v>
      </c>
      <c r="C27" s="52" t="s">
        <v>201</v>
      </c>
    </row>
    <row r="28" customFormat="false" ht="24" hidden="false" customHeight="true" outlineLevel="0" collapsed="false">
      <c r="A28" s="59"/>
      <c r="B28" s="51" t="s">
        <v>170</v>
      </c>
      <c r="C28" s="52" t="s">
        <v>202</v>
      </c>
    </row>
  </sheetData>
  <mergeCells count="6">
    <mergeCell ref="A2:C2"/>
    <mergeCell ref="A3:C3"/>
    <mergeCell ref="A4:C4"/>
    <mergeCell ref="A7:C7"/>
    <mergeCell ref="A13:C1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2026-03-06T04:22:59Z</dcterms:created>
  <dc:creator>openpyxl</dc:creator>
  <dc:description/>
  <dc:language>en-US</dc:language>
  <cp:lastModifiedBy/>
  <dcterms:modified xsi:type="dcterms:W3CDTF">2026-03-06T04:22:59Z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