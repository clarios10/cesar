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puestos y Dimensionamiento" sheetId="1" state="visible" r:id="rId3"/>
    <sheet name="Costos Mensuales" sheetId="2" state="visible" r:id="rId4"/>
    <sheet name="Resumen Ejecutiv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<sst xmlns="http://schemas.openxmlformats.org/spreadsheetml/2006/main" count="179" uniqueCount="155">
  <si>
    <t xml:space="preserve">Azure Event Hubs – Calculadora de Propuesta de Servicios</t>
  </si>
  <si>
    <t xml:space="preserve">Nivel: Standard  |  Región: East US  |  Moneda: USD</t>
  </si>
  <si>
    <t xml:space="preserve">A. PARÁMETROS DE ENTRADA (valores en azul = editables)</t>
  </si>
  <si>
    <t xml:space="preserve">Parámetro</t>
  </si>
  <si>
    <t xml:space="preserve">Valor</t>
  </si>
  <si>
    <t xml:space="preserve">Unidad</t>
  </si>
  <si>
    <t xml:space="preserve">Notas</t>
  </si>
  <si>
    <t xml:space="preserve">Eventos por segundo (EPS) – promedio</t>
  </si>
  <si>
    <t xml:space="preserve">EPS</t>
  </si>
  <si>
    <t xml:space="preserve">Rango seleccionado: 1,000-10,000 EPS</t>
  </si>
  <si>
    <t xml:space="preserve">Eventos por segundo (EPS) – pico</t>
  </si>
  <si>
    <t xml:space="preserve">Estimado al 160% del promedio</t>
  </si>
  <si>
    <t xml:space="preserve">Tamaño promedio de evento</t>
  </si>
  <si>
    <t xml:space="preserve">KB</t>
  </si>
  <si>
    <t xml:space="preserve">Rango seleccionado: 1-10 KB</t>
  </si>
  <si>
    <t xml:space="preserve">Días de retención de datos</t>
  </si>
  <si>
    <t xml:space="preserve">días</t>
  </si>
  <si>
    <t xml:space="preserve">Máximo en nivel Standard</t>
  </si>
  <si>
    <t xml:space="preserve">Consumer Groups</t>
  </si>
  <si>
    <t xml:space="preserve">CGs</t>
  </si>
  <si>
    <t xml:space="preserve">Rango seleccionado: 6-10</t>
  </si>
  <si>
    <t xml:space="preserve">Horas de operación al día</t>
  </si>
  <si>
    <t xml:space="preserve">hrs</t>
  </si>
  <si>
    <t xml:space="preserve">Operación continua 24/7</t>
  </si>
  <si>
    <t xml:space="preserve">Días al mes</t>
  </si>
  <si>
    <t xml:space="preserve">Mes estándar de facturación Azure</t>
  </si>
  <si>
    <t xml:space="preserve">B. CÁLCULO DE THROUGHPUT Y THROUGHPUT UNITS (TUs)</t>
  </si>
  <si>
    <t xml:space="preserve">Métrica</t>
  </si>
  <si>
    <t xml:space="preserve">Fórmula / Fuente</t>
  </si>
  <si>
    <t xml:space="preserve">Throughput de ingesta promedio (MB/s)</t>
  </si>
  <si>
    <t xml:space="preserve">MB/s</t>
  </si>
  <si>
    <t xml:space="preserve">EPS × Tamaño_KB ÷ 1024</t>
  </si>
  <si>
    <t xml:space="preserve">Throughput de ingesta en pico (MB/s)</t>
  </si>
  <si>
    <t xml:space="preserve">EPS_pico × Tamaño_KB ÷ 1024</t>
  </si>
  <si>
    <t xml:space="preserve">TUs requeridas por ingesta (pico)</t>
  </si>
  <si>
    <t xml:space="preserve">TUs</t>
  </si>
  <si>
    <t xml:space="preserve">Cada TU = 1 MB/s ingesta; CEILING al entero</t>
  </si>
  <si>
    <t xml:space="preserve">TUs requeridas por egreso (pico)</t>
  </si>
  <si>
    <t xml:space="preserve">Egreso = 2 MB/s/TU; ×CGs con factor 0.5</t>
  </si>
  <si>
    <t xml:space="preserve">TUs requeridas (máximo)</t>
  </si>
  <si>
    <t xml:space="preserve">Máximo entre ingesta y egreso</t>
  </si>
  <si>
    <t xml:space="preserve">TUs recomendadas (buffer +20%)</t>
  </si>
  <si>
    <t xml:space="preserve">Margen de seguridad 20%</t>
  </si>
  <si>
    <t xml:space="preserve">Particiones recomendadas</t>
  </si>
  <si>
    <t xml:space="preserve">particiones</t>
  </si>
  <si>
    <t xml:space="preserve">2× TUs o 2× CGs; mín 32</t>
  </si>
  <si>
    <t xml:space="preserve">C. ESTIMACIÓN DE ALMACENAMIENTO (Retención 7 días)</t>
  </si>
  <si>
    <t xml:space="preserve">Fórmula</t>
  </si>
  <si>
    <t xml:space="preserve">Datos ingestados por hora (GB)</t>
  </si>
  <si>
    <t xml:space="preserve">GB/hr</t>
  </si>
  <si>
    <t xml:space="preserve">EPS × KB × 3600 seg ÷ 1024²</t>
  </si>
  <si>
    <t xml:space="preserve">Datos ingestados por día (GB)</t>
  </si>
  <si>
    <t xml:space="preserve">GB/día</t>
  </si>
  <si>
    <t xml:space="preserve">GB_hr × Horas</t>
  </si>
  <si>
    <t xml:space="preserve">Datos ingestados por mes (GB)</t>
  </si>
  <si>
    <t xml:space="preserve">GB/mes</t>
  </si>
  <si>
    <t xml:space="preserve">GB_día × Días</t>
  </si>
  <si>
    <t xml:space="preserve">Almacenamiento total retenido (TB)</t>
  </si>
  <si>
    <t xml:space="preserve">TB</t>
  </si>
  <si>
    <t xml:space="preserve">GB_día × Días_retención ÷ 1024</t>
  </si>
  <si>
    <t xml:space="preserve">Almacenamiento total retenido (GB)</t>
  </si>
  <si>
    <t xml:space="preserve">GB</t>
  </si>
  <si>
    <t xml:space="preserve">GB_día × Días_retención</t>
  </si>
  <si>
    <t xml:space="preserve">D. VOLUMEN DE EVENTOS MENSUAL</t>
  </si>
  <si>
    <t xml:space="preserve">Eventos por hora</t>
  </si>
  <si>
    <t xml:space="preserve">eventos/hr</t>
  </si>
  <si>
    <t xml:space="preserve">EPS × 3600</t>
  </si>
  <si>
    <t xml:space="preserve">Eventos por día</t>
  </si>
  <si>
    <t xml:space="preserve">eventos/día</t>
  </si>
  <si>
    <t xml:space="preserve">Eventos por mes</t>
  </si>
  <si>
    <t xml:space="preserve">eventos/mes</t>
  </si>
  <si>
    <t xml:space="preserve">Eventos por mes (millones)</t>
  </si>
  <si>
    <t xml:space="preserve">M eventos</t>
  </si>
  <si>
    <t xml:space="preserve">Referencia para facturación</t>
  </si>
  <si>
    <t xml:space="preserve">Unidades de 1M eventos al mes</t>
  </si>
  <si>
    <t xml:space="preserve">unidades</t>
  </si>
  <si>
    <t xml:space="preserve">Azure factura por millones de eventos en Basic/Standard</t>
  </si>
  <si>
    <t xml:space="preserve">Azure Event Hubs – Desglose de Costos Mensuales (Standard)</t>
  </si>
  <si>
    <t xml:space="preserve">Precios de referencia: Azure Pricing (East US, March 2026) – sujeto a cambio</t>
  </si>
  <si>
    <t xml:space="preserve">PRECIOS UNITARIOS DE REFERENCIA (Standard – East US)</t>
  </si>
  <si>
    <t xml:space="preserve">Componente</t>
  </si>
  <si>
    <t xml:space="preserve">Precio Unit.</t>
  </si>
  <si>
    <t xml:space="preserve">Aplicable</t>
  </si>
  <si>
    <t xml:space="preserve">Fuente</t>
  </si>
  <si>
    <t xml:space="preserve">Throughput Unit (TU) – por hora</t>
  </si>
  <si>
    <t xml:space="preserve">USD/TU/hr</t>
  </si>
  <si>
    <t xml:space="preserve">Sí</t>
  </si>
  <si>
    <t xml:space="preserve">azure.microsoft.com/pricing/details/event-hubs</t>
  </si>
  <si>
    <t xml:space="preserve">Eventos de ingesta (primeros 1M incl.)</t>
  </si>
  <si>
    <t xml:space="preserve">USD/millón</t>
  </si>
  <si>
    <t xml:space="preserve">Sobre el primer millón incluido por TU</t>
  </si>
  <si>
    <t xml:space="preserve">Retención extendida (días 2-7)</t>
  </si>
  <si>
    <t xml:space="preserve">USD/GB/día</t>
  </si>
  <si>
    <t xml:space="preserve">Días 2 en adelante; día 1 gratis</t>
  </si>
  <si>
    <t xml:space="preserve">Event Hubs Capture (opcional)</t>
  </si>
  <si>
    <t xml:space="preserve">USD/hr/namespace</t>
  </si>
  <si>
    <t xml:space="preserve">No</t>
  </si>
  <si>
    <t xml:space="preserve">Si se requiere captura a Blob/ADLS</t>
  </si>
  <si>
    <t xml:space="preserve">Consumer Groups adicionales (&gt;1)</t>
  </si>
  <si>
    <t xml:space="preserve">USD</t>
  </si>
  <si>
    <t xml:space="preserve">—</t>
  </si>
  <si>
    <t xml:space="preserve">Incluidos hasta 20 en Standard</t>
  </si>
  <si>
    <t xml:space="preserve">CÁLCULO DE COSTOS MENSUALES</t>
  </si>
  <si>
    <t xml:space="preserve">Cantidad</t>
  </si>
  <si>
    <t xml:space="preserve">Costo Mensual</t>
  </si>
  <si>
    <t xml:space="preserve">Throughput Units (TUs)</t>
  </si>
  <si>
    <t xml:space="preserve">TUs × $0.03/hr × 24hr × 30 días</t>
  </si>
  <si>
    <t xml:space="preserve">Eventos de ingesta adicionales (sobre 1M incluido)</t>
  </si>
  <si>
    <t xml:space="preserve">Millones adicionales × $0.028</t>
  </si>
  <si>
    <t xml:space="preserve">Retención extendida días 2-7 (6 días pagados)</t>
  </si>
  <si>
    <t xml:space="preserve">GB/día × $0.01/GB × 6 días pagados</t>
  </si>
  <si>
    <t xml:space="preserve">Consumer Groups (incluidos en Standard)</t>
  </si>
  <si>
    <t xml:space="preserve">Hasta 20 CGs incluidos en Standard</t>
  </si>
  <si>
    <t xml:space="preserve">SUBTOTAL MENSUAL (sin Capture)</t>
  </si>
  <si>
    <t xml:space="preserve">Buffer de contingencia (10%)</t>
  </si>
  <si>
    <t xml:space="preserve">10%</t>
  </si>
  <si>
    <t xml:space="preserve">Recomendado para propuestas comerciales</t>
  </si>
  <si>
    <t xml:space="preserve">COSTO TOTAL MENSUAL ESTIMADO</t>
  </si>
  <si>
    <t xml:space="preserve">Incluye buffer de contingencia</t>
  </si>
  <si>
    <t xml:space="preserve">Proyección anual (×12)</t>
  </si>
  <si>
    <t xml:space="preserve">Azure Event Hubs – Resumen Ejecutivo de Propuesta</t>
  </si>
  <si>
    <t xml:space="preserve">ARQUITECTURA RECOMENDADA</t>
  </si>
  <si>
    <t xml:space="preserve">Nivel / SKU</t>
  </si>
  <si>
    <t xml:space="preserve">Standard</t>
  </si>
  <si>
    <t xml:space="preserve">Throughput Units</t>
  </si>
  <si>
    <t xml:space="preserve">Particiones</t>
  </si>
  <si>
    <t xml:space="preserve">Retención de datos</t>
  </si>
  <si>
    <t xml:space="preserve">Región Azure</t>
  </si>
  <si>
    <t xml:space="preserve">East US</t>
  </si>
  <si>
    <t xml:space="preserve">RESUMEN DE COSTOS</t>
  </si>
  <si>
    <t xml:space="preserve">Concepto</t>
  </si>
  <si>
    <t xml:space="preserve">Detalle</t>
  </si>
  <si>
    <t xml:space="preserve">TUs (Throughput Units)</t>
  </si>
  <si>
    <t xml:space="preserve">Costo de capacidad de procesamiento</t>
  </si>
  <si>
    <t xml:space="preserve">Eventos de ingesta adicionales</t>
  </si>
  <si>
    <t xml:space="preserve">Sobre el primer millón incluido</t>
  </si>
  <si>
    <t xml:space="preserve">Retención extendida (6 días)</t>
  </si>
  <si>
    <t xml:space="preserve">Días 2-7 de retención</t>
  </si>
  <si>
    <t xml:space="preserve">Incluidos en nivel Standard</t>
  </si>
  <si>
    <t xml:space="preserve">Subtotal mensual</t>
  </si>
  <si>
    <t xml:space="preserve">Sin contingencia</t>
  </si>
  <si>
    <t xml:space="preserve">Buffer contingencia (10%)</t>
  </si>
  <si>
    <t xml:space="preserve">Margen para variaciones</t>
  </si>
  <si>
    <t xml:space="preserve">TOTAL MENSUAL ESTIMADO</t>
  </si>
  <si>
    <t xml:space="preserve">Con contingencia incluida</t>
  </si>
  <si>
    <t xml:space="preserve">PROYECCIÓN ANUAL</t>
  </si>
  <si>
    <t xml:space="preserve">Total 12 meses</t>
  </si>
  <si>
    <t xml:space="preserve">NOTAS Y SUPUESTOS</t>
  </si>
  <si>
    <t xml:space="preserve">• Precios basados en Azure East US (marzo 2026). Sujetos a cambios sin previo aviso.</t>
  </si>
  <si>
    <t xml:space="preserve">• Nivel Standard soporta hasta 40 TUs y 20 Consumer Groups.</t>
  </si>
  <si>
    <t xml:space="preserve">• Retención día 1 incluida; días 2-7 facturados a $0.010/GB/día.</t>
  </si>
  <si>
    <t xml:space="preserve">• No incluye Event Hubs Capture (Blob/ADLS). Activar si se requiere persistencia de largo plazo.</t>
  </si>
  <si>
    <t xml:space="preserve">• Se recomienda configurar Auto-Inflate para escalar TUs automáticamente en picos.</t>
  </si>
  <si>
    <t xml:space="preserve">• El buffer de 10% cubre variaciones en EPS y tamaño de eventos.</t>
  </si>
  <si>
    <t xml:space="preserve">• Para &gt;40 TUs considerar escalar a nivel Premium o Dedicated.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</si>
</sst>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#,##0.00"/>
    <numFmt numFmtId="167" formatCode="\$#,##0.000"/>
    <numFmt numFmtId="168" formatCode="\$#,##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555555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FFFFFF"/>
      <name val="Arial"/>
      <family val="0"/>
      <charset val="1"/>
    </font>
    <font>
      <sz val="9"/>
      <color rgb="FF333333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4472C4"/>
      </patternFill>
    </fill>
    <fill>
      <patternFill patternType="solid">
        <fgColor rgb="FF4472C4"/>
        <bgColor rgb="FF2E75B6"/>
      </patternFill>
    </fill>
    <fill>
      <patternFill patternType="solid">
        <fgColor rgb="FFE2EFDA"/>
        <bgColor rgb="FFD6E4F0"/>
      </patternFill>
    </fill>
    <fill>
      <patternFill patternType="solid">
        <fgColor rgb="FFD6E4F0"/>
        <bgColor rgb="FFE2EFDA"/>
      </patternFill>
    </fill>
    <fill>
      <patternFill patternType="solid">
        <fgColor rgb="FFBDD7EE"/>
        <bgColor rgb="FFD6E4F0"/>
      </patternFill>
    </fill>
    <fill>
      <patternFill patternType="solid">
        <fgColor rgb="FFFFF2CC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0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6E4F0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55555"/>
      <rgbColor rgb="FFAAAAAA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28"/>
  </cols>
  <sheetData>
    <row r="1" customFormat="false" ht="36" hidden="false" customHeight="true" outlineLevel="0" collapsed="false">
      <c r="A1" s="1" t="s">
        <v>0</v>
      </c>
      <c r="B1" s="1"/>
      <c r="C1" s="1"/>
      <c r="D1" s="1"/>
    </row>
    <row r="2" customFormat="false" ht="18" hidden="false" customHeight="true" outlineLevel="0" collapsed="false">
      <c r="A2" s="2" t="s">
        <v>1</v>
      </c>
      <c r="B2" s="2"/>
      <c r="C2" s="2"/>
      <c r="D2" s="2"/>
    </row>
    <row r="3" customFormat="false" ht="6" hidden="false" customHeight="true" outlineLevel="0" collapsed="false"/>
    <row r="4" customFormat="false" ht="21.75" hidden="false" customHeight="true" outlineLevel="0" collapsed="false">
      <c r="A4" s="3" t="s">
        <v>2</v>
      </c>
      <c r="B4" s="3"/>
      <c r="C4" s="3"/>
      <c r="D4" s="3"/>
    </row>
    <row r="5" customFormat="false" ht="19.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</row>
    <row r="6" customFormat="false" ht="18" hidden="false" customHeight="true" outlineLevel="0" collapsed="false">
      <c r="A6" s="5" t="s">
        <v>7</v>
      </c>
      <c r="B6" s="6" t="n">
        <v>5000</v>
      </c>
      <c r="C6" s="7" t="s">
        <v>8</v>
      </c>
      <c r="D6" s="8" t="s">
        <v>9</v>
      </c>
    </row>
    <row r="7" customFormat="false" ht="18" hidden="false" customHeight="true" outlineLevel="0" collapsed="false">
      <c r="A7" s="5" t="s">
        <v>10</v>
      </c>
      <c r="B7" s="6" t="n">
        <v>8000</v>
      </c>
      <c r="C7" s="7" t="s">
        <v>8</v>
      </c>
      <c r="D7" s="8" t="s">
        <v>11</v>
      </c>
    </row>
    <row r="8" customFormat="false" ht="18" hidden="false" customHeight="true" outlineLevel="0" collapsed="false">
      <c r="A8" s="5" t="s">
        <v>12</v>
      </c>
      <c r="B8" s="6" t="n">
        <v>5</v>
      </c>
      <c r="C8" s="7" t="s">
        <v>13</v>
      </c>
      <c r="D8" s="8" t="s">
        <v>14</v>
      </c>
    </row>
    <row r="9" customFormat="false" ht="18" hidden="false" customHeight="true" outlineLevel="0" collapsed="false">
      <c r="A9" s="5" t="s">
        <v>15</v>
      </c>
      <c r="B9" s="6" t="n">
        <v>7</v>
      </c>
      <c r="C9" s="7" t="s">
        <v>16</v>
      </c>
      <c r="D9" s="8" t="s">
        <v>17</v>
      </c>
    </row>
    <row r="10" customFormat="false" ht="18" hidden="false" customHeight="true" outlineLevel="0" collapsed="false">
      <c r="A10" s="5" t="s">
        <v>18</v>
      </c>
      <c r="B10" s="6" t="n">
        <v>8</v>
      </c>
      <c r="C10" s="7" t="s">
        <v>19</v>
      </c>
      <c r="D10" s="8" t="s">
        <v>20</v>
      </c>
    </row>
    <row r="11" customFormat="false" ht="18" hidden="false" customHeight="true" outlineLevel="0" collapsed="false">
      <c r="A11" s="5" t="s">
        <v>21</v>
      </c>
      <c r="B11" s="6" t="n">
        <v>24</v>
      </c>
      <c r="C11" s="7" t="s">
        <v>22</v>
      </c>
      <c r="D11" s="8" t="s">
        <v>23</v>
      </c>
    </row>
    <row r="12" customFormat="false" ht="18" hidden="false" customHeight="true" outlineLevel="0" collapsed="false">
      <c r="A12" s="5" t="s">
        <v>24</v>
      </c>
      <c r="B12" s="6" t="n">
        <v>30</v>
      </c>
      <c r="C12" s="7" t="s">
        <v>16</v>
      </c>
      <c r="D12" s="8" t="s">
        <v>25</v>
      </c>
    </row>
    <row r="14" customFormat="false" ht="6" hidden="false" customHeight="true" outlineLevel="0" collapsed="false"/>
    <row r="15" customFormat="false" ht="21.75" hidden="false" customHeight="true" outlineLevel="0" collapsed="false">
      <c r="A15" s="3" t="s">
        <v>26</v>
      </c>
      <c r="B15" s="3"/>
      <c r="C15" s="3"/>
      <c r="D15" s="3"/>
    </row>
    <row r="16" customFormat="false" ht="15" hidden="false" customHeight="false" outlineLevel="0" collapsed="false">
      <c r="A16" s="4" t="s">
        <v>27</v>
      </c>
      <c r="B16" s="4" t="s">
        <v>4</v>
      </c>
      <c r="C16" s="4" t="s">
        <v>5</v>
      </c>
      <c r="D16" s="4" t="s">
        <v>28</v>
      </c>
    </row>
    <row r="17" customFormat="false" ht="18" hidden="false" customHeight="true" outlineLevel="0" collapsed="false">
      <c r="A17" s="5" t="s">
        <v>29</v>
      </c>
      <c r="B17" s="9" t="n">
        <f aca="false">B6*B8/1024</f>
        <v>24.4140625</v>
      </c>
      <c r="C17" s="7" t="s">
        <v>30</v>
      </c>
      <c r="D17" s="8" t="s">
        <v>31</v>
      </c>
    </row>
    <row r="18" customFormat="false" ht="18" hidden="false" customHeight="true" outlineLevel="0" collapsed="false">
      <c r="A18" s="5" t="s">
        <v>32</v>
      </c>
      <c r="B18" s="9" t="n">
        <f aca="false">B7*B8/1024</f>
        <v>39.0625</v>
      </c>
      <c r="C18" s="7" t="s">
        <v>30</v>
      </c>
      <c r="D18" s="8" t="s">
        <v>33</v>
      </c>
    </row>
    <row r="19" customFormat="false" ht="18" hidden="false" customHeight="true" outlineLevel="0" collapsed="false">
      <c r="A19" s="5" t="s">
        <v>34</v>
      </c>
      <c r="B19" s="9" t="n">
        <f aca="false">CEILING(B18/1,1)</f>
        <v>40</v>
      </c>
      <c r="C19" s="7" t="s">
        <v>35</v>
      </c>
      <c r="D19" s="8" t="s">
        <v>36</v>
      </c>
    </row>
    <row r="20" customFormat="false" ht="18" hidden="false" customHeight="true" outlineLevel="0" collapsed="false">
      <c r="A20" s="5" t="s">
        <v>37</v>
      </c>
      <c r="B20" s="9" t="n">
        <f aca="false">CEILING(B18*B10/2,1)</f>
        <v>157</v>
      </c>
      <c r="C20" s="7" t="s">
        <v>35</v>
      </c>
      <c r="D20" s="8" t="s">
        <v>38</v>
      </c>
    </row>
    <row r="21" customFormat="false" ht="18" hidden="false" customHeight="true" outlineLevel="0" collapsed="false">
      <c r="A21" s="5" t="s">
        <v>39</v>
      </c>
      <c r="B21" s="9" t="n">
        <f aca="false">MAX(B19,B20)</f>
        <v>157</v>
      </c>
      <c r="C21" s="7" t="s">
        <v>35</v>
      </c>
      <c r="D21" s="8" t="s">
        <v>40</v>
      </c>
    </row>
    <row r="22" customFormat="false" ht="18" hidden="false" customHeight="true" outlineLevel="0" collapsed="false">
      <c r="A22" s="5" t="s">
        <v>41</v>
      </c>
      <c r="B22" s="10" t="n">
        <f aca="false">CEILING(B21*1.2,1)</f>
        <v>189</v>
      </c>
      <c r="C22" s="7" t="s">
        <v>35</v>
      </c>
      <c r="D22" s="8" t="s">
        <v>42</v>
      </c>
    </row>
    <row r="23" customFormat="false" ht="18" hidden="false" customHeight="true" outlineLevel="0" collapsed="false">
      <c r="A23" s="5" t="s">
        <v>43</v>
      </c>
      <c r="B23" s="9" t="n">
        <f aca="false">MAX(B22*2, B10*2)</f>
        <v>378</v>
      </c>
      <c r="C23" s="7" t="s">
        <v>44</v>
      </c>
      <c r="D23" s="8" t="s">
        <v>45</v>
      </c>
    </row>
    <row r="25" customFormat="false" ht="6" hidden="false" customHeight="true" outlineLevel="0" collapsed="false"/>
    <row r="26" customFormat="false" ht="21.75" hidden="false" customHeight="true" outlineLevel="0" collapsed="false">
      <c r="A26" s="3" t="s">
        <v>46</v>
      </c>
      <c r="B26" s="3"/>
      <c r="C26" s="3"/>
      <c r="D26" s="3"/>
    </row>
    <row r="27" customFormat="false" ht="15" hidden="false" customHeight="false" outlineLevel="0" collapsed="false">
      <c r="A27" s="4" t="s">
        <v>27</v>
      </c>
      <c r="B27" s="4" t="s">
        <v>4</v>
      </c>
      <c r="C27" s="4" t="s">
        <v>5</v>
      </c>
      <c r="D27" s="4" t="s">
        <v>47</v>
      </c>
    </row>
    <row r="28" customFormat="false" ht="18" hidden="false" customHeight="true" outlineLevel="0" collapsed="false">
      <c r="A28" s="5" t="s">
        <v>48</v>
      </c>
      <c r="B28" s="9" t="n">
        <f aca="false">B6*B8*3600/1024/1024</f>
        <v>85.8306884765625</v>
      </c>
      <c r="C28" s="7" t="s">
        <v>49</v>
      </c>
      <c r="D28" s="8" t="s">
        <v>50</v>
      </c>
    </row>
    <row r="29" customFormat="false" ht="18" hidden="false" customHeight="true" outlineLevel="0" collapsed="false">
      <c r="A29" s="5" t="s">
        <v>51</v>
      </c>
      <c r="B29" s="9" t="n">
        <f aca="false">B28*B11</f>
        <v>2059.9365234375</v>
      </c>
      <c r="C29" s="7" t="s">
        <v>52</v>
      </c>
      <c r="D29" s="8" t="s">
        <v>53</v>
      </c>
    </row>
    <row r="30" customFormat="false" ht="18" hidden="false" customHeight="true" outlineLevel="0" collapsed="false">
      <c r="A30" s="5" t="s">
        <v>54</v>
      </c>
      <c r="B30" s="9" t="n">
        <f aca="false">B29*B12</f>
        <v>61798.095703125</v>
      </c>
      <c r="C30" s="7" t="s">
        <v>55</v>
      </c>
      <c r="D30" s="8" t="s">
        <v>56</v>
      </c>
    </row>
    <row r="31" customFormat="false" ht="18" hidden="false" customHeight="true" outlineLevel="0" collapsed="false">
      <c r="A31" s="5" t="s">
        <v>57</v>
      </c>
      <c r="B31" s="11" t="n">
        <f aca="false">B29*B9/1024</f>
        <v>14.081597328186</v>
      </c>
      <c r="C31" s="7" t="s">
        <v>58</v>
      </c>
      <c r="D31" s="8" t="s">
        <v>59</v>
      </c>
    </row>
    <row r="32" customFormat="false" ht="18" hidden="false" customHeight="true" outlineLevel="0" collapsed="false">
      <c r="A32" s="5" t="s">
        <v>60</v>
      </c>
      <c r="B32" s="9" t="n">
        <f aca="false">B29*B9</f>
        <v>14419.5556640625</v>
      </c>
      <c r="C32" s="7" t="s">
        <v>61</v>
      </c>
      <c r="D32" s="8" t="s">
        <v>62</v>
      </c>
    </row>
    <row r="34" customFormat="false" ht="6" hidden="false" customHeight="true" outlineLevel="0" collapsed="false"/>
    <row r="35" customFormat="false" ht="21.75" hidden="false" customHeight="true" outlineLevel="0" collapsed="false">
      <c r="A35" s="3" t="s">
        <v>63</v>
      </c>
      <c r="B35" s="3"/>
      <c r="C35" s="3"/>
      <c r="D35" s="3"/>
    </row>
    <row r="36" customFormat="false" ht="15" hidden="false" customHeight="false" outlineLevel="0" collapsed="false">
      <c r="A36" s="4" t="s">
        <v>27</v>
      </c>
      <c r="B36" s="4" t="s">
        <v>4</v>
      </c>
      <c r="C36" s="4" t="s">
        <v>5</v>
      </c>
      <c r="D36" s="4" t="s">
        <v>47</v>
      </c>
    </row>
    <row r="37" customFormat="false" ht="18" hidden="false" customHeight="true" outlineLevel="0" collapsed="false">
      <c r="A37" s="5" t="s">
        <v>64</v>
      </c>
      <c r="B37" s="12" t="n">
        <f aca="false">B6*3600</f>
        <v>18000000</v>
      </c>
      <c r="C37" s="7" t="s">
        <v>65</v>
      </c>
      <c r="D37" s="8" t="s">
        <v>66</v>
      </c>
    </row>
    <row r="38" customFormat="false" ht="18" hidden="false" customHeight="true" outlineLevel="0" collapsed="false">
      <c r="A38" s="5" t="s">
        <v>67</v>
      </c>
      <c r="B38" s="12" t="n">
        <f aca="false">B37*B11</f>
        <v>432000000</v>
      </c>
      <c r="C38" s="7" t="s">
        <v>68</v>
      </c>
      <c r="D38" s="8"/>
    </row>
    <row r="39" customFormat="false" ht="18" hidden="false" customHeight="true" outlineLevel="0" collapsed="false">
      <c r="A39" s="5" t="s">
        <v>69</v>
      </c>
      <c r="B39" s="12" t="n">
        <f aca="false">B38*B12</f>
        <v>12960000000</v>
      </c>
      <c r="C39" s="7" t="s">
        <v>70</v>
      </c>
      <c r="D39" s="8"/>
    </row>
    <row r="40" customFormat="false" ht="18" hidden="false" customHeight="true" outlineLevel="0" collapsed="false">
      <c r="A40" s="5" t="s">
        <v>71</v>
      </c>
      <c r="B40" s="9" t="n">
        <f aca="false">B39/1000000</f>
        <v>12960</v>
      </c>
      <c r="C40" s="7" t="s">
        <v>72</v>
      </c>
      <c r="D40" s="8" t="s">
        <v>73</v>
      </c>
    </row>
    <row r="41" customFormat="false" ht="18" hidden="false" customHeight="true" outlineLevel="0" collapsed="false">
      <c r="A41" s="5" t="s">
        <v>74</v>
      </c>
      <c r="B41" s="11" t="n">
        <f aca="false">CEILING(B40,1)</f>
        <v>12960</v>
      </c>
      <c r="C41" s="7" t="s">
        <v>75</v>
      </c>
      <c r="D41" s="8" t="s">
        <v>76</v>
      </c>
    </row>
  </sheetData>
  <mergeCells count="6">
    <mergeCell ref="A1:D1"/>
    <mergeCell ref="A2:D2"/>
    <mergeCell ref="A4:D4"/>
    <mergeCell ref="A15:D15"/>
    <mergeCell ref="A26:D26"/>
    <mergeCell ref="A35:D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8"/>
    <col collapsed="false" customWidth="true" hidden="false" outlineLevel="0" max="5" min="5" style="0" width="22"/>
  </cols>
  <sheetData>
    <row r="1" customFormat="false" ht="36" hidden="false" customHeight="true" outlineLevel="0" collapsed="false">
      <c r="A1" s="1" t="s">
        <v>77</v>
      </c>
      <c r="B1" s="1"/>
      <c r="C1" s="1"/>
      <c r="D1" s="1"/>
      <c r="E1" s="1"/>
    </row>
    <row r="2" customFormat="false" ht="18" hidden="false" customHeight="true" outlineLevel="0" collapsed="false">
      <c r="A2" s="13" t="s">
        <v>78</v>
      </c>
      <c r="B2" s="13"/>
      <c r="C2" s="13"/>
      <c r="D2" s="13"/>
      <c r="E2" s="13"/>
    </row>
    <row r="3" customFormat="false" ht="6" hidden="false" customHeight="true" outlineLevel="0" collapsed="false"/>
    <row r="4" customFormat="false" ht="21.75" hidden="false" customHeight="true" outlineLevel="0" collapsed="false">
      <c r="A4" s="3" t="s">
        <v>79</v>
      </c>
      <c r="B4" s="3"/>
      <c r="C4" s="3"/>
      <c r="D4" s="3"/>
      <c r="E4" s="3"/>
    </row>
    <row r="5" customFormat="false" ht="15" hidden="false" customHeight="false" outlineLevel="0" collapsed="false">
      <c r="A5" s="4" t="s">
        <v>80</v>
      </c>
      <c r="B5" s="4" t="s">
        <v>81</v>
      </c>
      <c r="C5" s="4" t="s">
        <v>5</v>
      </c>
      <c r="D5" s="4" t="s">
        <v>82</v>
      </c>
      <c r="E5" s="4" t="s">
        <v>83</v>
      </c>
    </row>
    <row r="6" customFormat="false" ht="18" hidden="false" customHeight="true" outlineLevel="0" collapsed="false">
      <c r="A6" s="5" t="s">
        <v>84</v>
      </c>
      <c r="B6" s="14" t="n">
        <v>0.03</v>
      </c>
      <c r="C6" s="7" t="s">
        <v>85</v>
      </c>
      <c r="D6" s="7" t="s">
        <v>86</v>
      </c>
      <c r="E6" s="8" t="s">
        <v>87</v>
      </c>
    </row>
    <row r="7" customFormat="false" ht="18" hidden="false" customHeight="true" outlineLevel="0" collapsed="false">
      <c r="A7" s="5" t="s">
        <v>88</v>
      </c>
      <c r="B7" s="14" t="n">
        <v>0.028</v>
      </c>
      <c r="C7" s="7" t="s">
        <v>89</v>
      </c>
      <c r="D7" s="7" t="s">
        <v>86</v>
      </c>
      <c r="E7" s="8" t="s">
        <v>90</v>
      </c>
    </row>
    <row r="8" customFormat="false" ht="18" hidden="false" customHeight="true" outlineLevel="0" collapsed="false">
      <c r="A8" s="5" t="s">
        <v>91</v>
      </c>
      <c r="B8" s="14" t="n">
        <v>0.01</v>
      </c>
      <c r="C8" s="7" t="s">
        <v>92</v>
      </c>
      <c r="D8" s="7" t="s">
        <v>86</v>
      </c>
      <c r="E8" s="8" t="s">
        <v>93</v>
      </c>
    </row>
    <row r="9" customFormat="false" ht="18" hidden="false" customHeight="true" outlineLevel="0" collapsed="false">
      <c r="A9" s="5" t="s">
        <v>94</v>
      </c>
      <c r="B9" s="14" t="n">
        <v>0.148</v>
      </c>
      <c r="C9" s="7" t="s">
        <v>95</v>
      </c>
      <c r="D9" s="7" t="s">
        <v>96</v>
      </c>
      <c r="E9" s="8" t="s">
        <v>97</v>
      </c>
    </row>
    <row r="10" customFormat="false" ht="18" hidden="false" customHeight="true" outlineLevel="0" collapsed="false">
      <c r="A10" s="5" t="s">
        <v>98</v>
      </c>
      <c r="B10" s="14" t="n">
        <v>0</v>
      </c>
      <c r="C10" s="7" t="s">
        <v>99</v>
      </c>
      <c r="D10" s="7" t="s">
        <v>100</v>
      </c>
      <c r="E10" s="8" t="s">
        <v>101</v>
      </c>
    </row>
    <row r="12" customFormat="false" ht="6" hidden="false" customHeight="true" outlineLevel="0" collapsed="false"/>
    <row r="13" customFormat="false" ht="21.75" hidden="false" customHeight="true" outlineLevel="0" collapsed="false">
      <c r="A13" s="3" t="s">
        <v>102</v>
      </c>
      <c r="B13" s="3"/>
      <c r="C13" s="3"/>
      <c r="D13" s="3"/>
      <c r="E13" s="3"/>
    </row>
    <row r="14" customFormat="false" ht="15" hidden="false" customHeight="false" outlineLevel="0" collapsed="false">
      <c r="A14" s="4" t="s">
        <v>80</v>
      </c>
      <c r="B14" s="4" t="s">
        <v>103</v>
      </c>
      <c r="C14" s="4" t="s">
        <v>81</v>
      </c>
      <c r="D14" s="4" t="s">
        <v>104</v>
      </c>
      <c r="E14" s="4" t="s">
        <v>6</v>
      </c>
    </row>
    <row r="15" customFormat="false" ht="18" hidden="false" customHeight="true" outlineLevel="0" collapsed="false">
      <c r="A15" s="5" t="s">
        <v>105</v>
      </c>
      <c r="B15" s="15" t="n">
        <f aca="false">'Supuestos y Dimensionamiento'!B22</f>
        <v>189</v>
      </c>
      <c r="C15" s="16" t="n">
        <f aca="false">B6</f>
        <v>0.03</v>
      </c>
      <c r="D15" s="17" t="n">
        <f aca="false">B15*C15*24*'Supuestos y Dimensionamiento'!B12</f>
        <v>4082.4</v>
      </c>
      <c r="E15" s="5" t="s">
        <v>106</v>
      </c>
    </row>
    <row r="16" customFormat="false" ht="18" hidden="false" customHeight="true" outlineLevel="0" collapsed="false">
      <c r="A16" s="5" t="s">
        <v>107</v>
      </c>
      <c r="B16" s="18" t="n">
        <f aca="false">MAX('Supuestos y Dimensionamiento'!B41-'Supuestos y Dimensionamiento'!B22,0)</f>
        <v>12771</v>
      </c>
      <c r="C16" s="16" t="n">
        <f aca="false">B7</f>
        <v>0.028</v>
      </c>
      <c r="D16" s="17" t="n">
        <f aca="false">B16*C16</f>
        <v>357.588</v>
      </c>
      <c r="E16" s="5" t="s">
        <v>108</v>
      </c>
    </row>
    <row r="17" customFormat="false" ht="18" hidden="false" customHeight="true" outlineLevel="0" collapsed="false">
      <c r="A17" s="5" t="s">
        <v>109</v>
      </c>
      <c r="B17" s="18" t="n">
        <f aca="false">'Supuestos y Dimensionamiento'!B29</f>
        <v>2059.9365234375</v>
      </c>
      <c r="C17" s="16" t="n">
        <f aca="false">B8*6</f>
        <v>0.06</v>
      </c>
      <c r="D17" s="17" t="n">
        <f aca="false">B17*B8*6</f>
        <v>123.59619140625</v>
      </c>
      <c r="E17" s="5" t="s">
        <v>110</v>
      </c>
    </row>
    <row r="18" customFormat="false" ht="18" hidden="false" customHeight="true" outlineLevel="0" collapsed="false">
      <c r="A18" s="5" t="s">
        <v>111</v>
      </c>
      <c r="B18" s="15" t="n">
        <f aca="false">'Supuestos y Dimensionamiento'!B10</f>
        <v>8</v>
      </c>
      <c r="C18" s="14" t="n">
        <v>0</v>
      </c>
      <c r="D18" s="17" t="n">
        <f aca="false">0</f>
        <v>0</v>
      </c>
      <c r="E18" s="5" t="s">
        <v>112</v>
      </c>
    </row>
    <row r="19" customFormat="false" ht="19.5" hidden="false" customHeight="true" outlineLevel="0" collapsed="false">
      <c r="A19" s="19" t="s">
        <v>113</v>
      </c>
      <c r="B19" s="20"/>
      <c r="C19" s="20"/>
      <c r="D19" s="21" t="n">
        <f aca="false">SUM(D15:D18)</f>
        <v>4563.58419140625</v>
      </c>
      <c r="E19" s="20"/>
    </row>
    <row r="20" customFormat="false" ht="18" hidden="false" customHeight="true" outlineLevel="0" collapsed="false">
      <c r="A20" s="22" t="s">
        <v>114</v>
      </c>
      <c r="B20" s="22" t="s">
        <v>115</v>
      </c>
      <c r="C20" s="22"/>
      <c r="D20" s="23" t="n">
        <f aca="false">D19*0.1</f>
        <v>456.358419140625</v>
      </c>
      <c r="E20" s="22" t="s">
        <v>116</v>
      </c>
    </row>
    <row r="21" customFormat="false" ht="24" hidden="false" customHeight="true" outlineLevel="0" collapsed="false">
      <c r="A21" s="24" t="s">
        <v>117</v>
      </c>
      <c r="B21" s="25"/>
      <c r="C21" s="25"/>
      <c r="D21" s="26" t="n">
        <f aca="false">D19+D20</f>
        <v>5019.94261054688</v>
      </c>
      <c r="E21" s="27" t="s">
        <v>118</v>
      </c>
    </row>
    <row r="22" customFormat="false" ht="19.5" hidden="false" customHeight="true" outlineLevel="0" collapsed="false">
      <c r="A22" s="19" t="s">
        <v>119</v>
      </c>
      <c r="B22" s="28"/>
      <c r="C22" s="28"/>
      <c r="D22" s="29" t="n">
        <f aca="false">D21*12</f>
        <v>60239.3113265625</v>
      </c>
      <c r="E22" s="20"/>
    </row>
  </sheetData>
  <mergeCells count="4">
    <mergeCell ref="A1:E1"/>
    <mergeCell ref="A2:E2"/>
    <mergeCell ref="A4:E4"/>
    <mergeCell ref="A13:E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4"/>
    <col collapsed="false" customWidth="true" hidden="false" outlineLevel="0" max="3" min="3" style="0" width="30"/>
  </cols>
  <sheetData>
    <row r="1" customFormat="false" ht="36" hidden="false" customHeight="true" outlineLevel="0" collapsed="false">
      <c r="A1" s="1" t="s">
        <v>120</v>
      </c>
      <c r="B1" s="1"/>
      <c r="C1" s="1"/>
    </row>
    <row r="2" customFormat="false" ht="6" hidden="false" customHeight="true" outlineLevel="0" collapsed="false"/>
    <row r="3" customFormat="false" ht="21.75" hidden="false" customHeight="true" outlineLevel="0" collapsed="false">
      <c r="A3" s="3" t="s">
        <v>121</v>
      </c>
      <c r="B3" s="3"/>
      <c r="C3" s="3"/>
    </row>
    <row r="4" customFormat="false" ht="19.5" hidden="false" customHeight="true" outlineLevel="0" collapsed="false">
      <c r="A4" s="19" t="s">
        <v>122</v>
      </c>
      <c r="B4" s="5" t="s">
        <v>123</v>
      </c>
      <c r="C4" s="30"/>
    </row>
    <row r="5" customFormat="false" ht="19.5" hidden="false" customHeight="true" outlineLevel="0" collapsed="false">
      <c r="A5" s="19" t="s">
        <v>124</v>
      </c>
      <c r="B5" s="5" t="str">
        <f aca="false">'Supuestos y Dimensionamiento'!B22 &amp; " TUs (recomendadas)"</f>
        <v>189 TUs (recomendadas)</v>
      </c>
      <c r="C5" s="30"/>
    </row>
    <row r="6" customFormat="false" ht="19.5" hidden="false" customHeight="true" outlineLevel="0" collapsed="false">
      <c r="A6" s="19" t="s">
        <v>125</v>
      </c>
      <c r="B6" s="5" t="str">
        <f aca="false">'Supuestos y Dimensionamiento'!B23 &amp; " particiones"</f>
        <v>378 particiones</v>
      </c>
      <c r="C6" s="30"/>
    </row>
    <row r="7" customFormat="false" ht="19.5" hidden="false" customHeight="true" outlineLevel="0" collapsed="false">
      <c r="A7" s="19" t="s">
        <v>18</v>
      </c>
      <c r="B7" s="5" t="str">
        <f aca="false">'Supuestos y Dimensionamiento'!B10 &amp; " CGs"</f>
        <v>8 CGs</v>
      </c>
      <c r="C7" s="30"/>
    </row>
    <row r="8" customFormat="false" ht="19.5" hidden="false" customHeight="true" outlineLevel="0" collapsed="false">
      <c r="A8" s="19" t="s">
        <v>126</v>
      </c>
      <c r="B8" s="5" t="str">
        <f aca="false">'Supuestos y Dimensionamiento'!B9 &amp; " días"</f>
        <v>7 días</v>
      </c>
      <c r="C8" s="30"/>
    </row>
    <row r="9" customFormat="false" ht="19.5" hidden="false" customHeight="true" outlineLevel="0" collapsed="false">
      <c r="A9" s="19" t="s">
        <v>127</v>
      </c>
      <c r="B9" s="5" t="s">
        <v>128</v>
      </c>
      <c r="C9" s="30"/>
    </row>
    <row r="11" customFormat="false" ht="6" hidden="false" customHeight="true" outlineLevel="0" collapsed="false"/>
    <row r="12" customFormat="false" ht="21.75" hidden="false" customHeight="true" outlineLevel="0" collapsed="false">
      <c r="A12" s="3" t="s">
        <v>129</v>
      </c>
      <c r="B12" s="3"/>
      <c r="C12" s="3"/>
    </row>
    <row r="13" customFormat="false" ht="15" hidden="false" customHeight="false" outlineLevel="0" collapsed="false">
      <c r="A13" s="4" t="s">
        <v>130</v>
      </c>
      <c r="B13" s="4" t="s">
        <v>99</v>
      </c>
      <c r="C13" s="4" t="s">
        <v>131</v>
      </c>
    </row>
    <row r="14" customFormat="false" ht="19.5" hidden="false" customHeight="true" outlineLevel="0" collapsed="false">
      <c r="A14" s="5" t="s">
        <v>132</v>
      </c>
      <c r="B14" s="31" t="n">
        <f aca="false">'Costos Mensuales'!D15</f>
        <v>4082.4</v>
      </c>
      <c r="C14" s="5" t="s">
        <v>133</v>
      </c>
    </row>
    <row r="15" customFormat="false" ht="19.5" hidden="false" customHeight="true" outlineLevel="0" collapsed="false">
      <c r="A15" s="5" t="s">
        <v>134</v>
      </c>
      <c r="B15" s="31" t="n">
        <f aca="false">'Costos Mensuales'!D16</f>
        <v>357.588</v>
      </c>
      <c r="C15" s="5" t="s">
        <v>135</v>
      </c>
    </row>
    <row r="16" customFormat="false" ht="19.5" hidden="false" customHeight="true" outlineLevel="0" collapsed="false">
      <c r="A16" s="5" t="s">
        <v>136</v>
      </c>
      <c r="B16" s="31" t="n">
        <f aca="false">'Costos Mensuales'!D17</f>
        <v>123.59619140625</v>
      </c>
      <c r="C16" s="5" t="s">
        <v>137</v>
      </c>
    </row>
    <row r="17" customFormat="false" ht="19.5" hidden="false" customHeight="true" outlineLevel="0" collapsed="false">
      <c r="A17" s="5" t="s">
        <v>18</v>
      </c>
      <c r="B17" s="31" t="n">
        <f aca="false">'Costos Mensuales'!D18</f>
        <v>0</v>
      </c>
      <c r="C17" s="5" t="s">
        <v>138</v>
      </c>
    </row>
    <row r="18" customFormat="false" ht="19.5" hidden="false" customHeight="true" outlineLevel="0" collapsed="false">
      <c r="A18" s="32" t="s">
        <v>139</v>
      </c>
      <c r="B18" s="17" t="n">
        <f aca="false">'Costos Mensuales'!D19</f>
        <v>4563.58419140625</v>
      </c>
      <c r="C18" s="32" t="s">
        <v>140</v>
      </c>
    </row>
    <row r="19" customFormat="false" ht="19.5" hidden="false" customHeight="true" outlineLevel="0" collapsed="false">
      <c r="A19" s="5" t="s">
        <v>141</v>
      </c>
      <c r="B19" s="31" t="n">
        <f aca="false">'Costos Mensuales'!D20</f>
        <v>456.358419140625</v>
      </c>
      <c r="C19" s="5" t="s">
        <v>142</v>
      </c>
    </row>
    <row r="20" customFormat="false" ht="19.5" hidden="false" customHeight="true" outlineLevel="0" collapsed="false">
      <c r="A20" s="24" t="s">
        <v>143</v>
      </c>
      <c r="B20" s="26" t="n">
        <f aca="false">'Costos Mensuales'!D21</f>
        <v>5019.94261054688</v>
      </c>
      <c r="C20" s="27" t="s">
        <v>144</v>
      </c>
    </row>
    <row r="21" customFormat="false" ht="19.5" hidden="false" customHeight="true" outlineLevel="0" collapsed="false">
      <c r="A21" s="32" t="s">
        <v>145</v>
      </c>
      <c r="B21" s="17" t="n">
        <f aca="false">'Costos Mensuales'!D22</f>
        <v>60239.3113265625</v>
      </c>
      <c r="C21" s="32" t="s">
        <v>146</v>
      </c>
    </row>
    <row r="23" customFormat="false" ht="6" hidden="false" customHeight="true" outlineLevel="0" collapsed="false"/>
    <row r="24" customFormat="false" ht="21.75" hidden="false" customHeight="true" outlineLevel="0" collapsed="false">
      <c r="A24" s="3" t="s">
        <v>147</v>
      </c>
      <c r="B24" s="3"/>
      <c r="C24" s="3"/>
    </row>
    <row r="25" customFormat="false" ht="15.75" hidden="false" customHeight="true" outlineLevel="0" collapsed="false">
      <c r="A25" s="33" t="s">
        <v>148</v>
      </c>
      <c r="B25" s="33"/>
      <c r="C25" s="33"/>
    </row>
    <row r="26" customFormat="false" ht="15.75" hidden="false" customHeight="true" outlineLevel="0" collapsed="false">
      <c r="A26" s="33" t="s">
        <v>149</v>
      </c>
      <c r="B26" s="33"/>
      <c r="C26" s="33"/>
    </row>
    <row r="27" customFormat="false" ht="15.75" hidden="false" customHeight="true" outlineLevel="0" collapsed="false">
      <c r="A27" s="33" t="s">
        <v>150</v>
      </c>
      <c r="B27" s="33"/>
      <c r="C27" s="33"/>
    </row>
    <row r="28" customFormat="false" ht="15.75" hidden="false" customHeight="true" outlineLevel="0" collapsed="false">
      <c r="A28" s="33" t="s">
        <v>151</v>
      </c>
      <c r="B28" s="33"/>
      <c r="C28" s="33"/>
    </row>
    <row r="29" customFormat="false" ht="15.75" hidden="false" customHeight="true" outlineLevel="0" collapsed="false">
      <c r="A29" s="33" t="s">
        <v>152</v>
      </c>
      <c r="B29" s="33"/>
      <c r="C29" s="33"/>
    </row>
    <row r="30" customFormat="false" ht="15.75" hidden="false" customHeight="true" outlineLevel="0" collapsed="false">
      <c r="A30" s="33" t="s">
        <v>153</v>
      </c>
      <c r="B30" s="33"/>
      <c r="C30" s="33"/>
    </row>
    <row r="31" customFormat="false" ht="15.75" hidden="false" customHeight="true" outlineLevel="0" collapsed="false">
      <c r="A31" s="33" t="s">
        <v>154</v>
      </c>
      <c r="B31" s="33"/>
      <c r="C31" s="33"/>
    </row>
  </sheetData>
  <mergeCells count="11">
    <mergeCell ref="A1:C1"/>
    <mergeCell ref="A3:C3"/>
    <mergeCell ref="A12:C12"/>
    <mergeCell ref="A24:C24"/>
    <mergeCell ref="A25:C25"/>
    <mergeCell ref="A26:C26"/>
    <mergeCell ref="A27:C27"/>
    <mergeCell ref="A28:C28"/>
    <mergeCell ref="A29:C29"/>
    <mergeCell ref="A30:C30"/>
    <mergeCell ref="A31:C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2026-03-04T12:08:40Z</dcterms:created>
  <dc:creator>openpyxl</dc:creator>
  <dc:description/>
  <dc:language>en-US</dc:language>
  <cp:lastModifiedBy/>
  <dcterms:modified xsi:type="dcterms:W3CDTF">2026-03-04T12:08:40Z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