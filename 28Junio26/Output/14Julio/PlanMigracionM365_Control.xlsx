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rabajo" sheetId="1" state="visible" r:id="rId3"/>
  </sheets>
  <definedNames>
    <definedName function="false" hidden="false" localSheetId="0" name="_xlnm.Print_Titles" vbProcedure="false">'Plan de Trabajo'!$5:$5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<sst xmlns="http://schemas.openxmlformats.org/spreadsheetml/2006/main" count="278" uniqueCount="103">
  <si>
    <t xml:space="preserve">Plan de Trabajo — Migración de Correo Hostinger a Microsoft 365</t>
  </si>
  <si>
    <t xml:space="preserve">Fecha de inicio del proyecto:</t>
  </si>
  <si>
    <t xml:space="preserve">% Avance total del proyecto:</t>
  </si>
  <si>
    <t xml:space="preserve">Leyenda: celdas amarillas = editables (fecha de inicio, % avance, responsable). Filas azul claro = tareas sugeridas (nuevas). Filas naranja claro = tareas del archivo original que se sugiere revisar, fusionar o remover.</t>
  </si>
  <si>
    <t xml:space="preserve">No.</t>
  </si>
  <si>
    <t xml:space="preserve">Fase / Etapa</t>
  </si>
  <si>
    <t xml:space="preserve">Tarea</t>
  </si>
  <si>
    <t xml:space="preserve">Acción sugerida</t>
  </si>
  <si>
    <t xml:space="preserve">Responsable</t>
  </si>
  <si>
    <t xml:space="preserve">Duración
(días hábiles)</t>
  </si>
  <si>
    <t xml:space="preserve">Fecha inicio</t>
  </si>
  <si>
    <t xml:space="preserve">Fecha fin</t>
  </si>
  <si>
    <t xml:space="preserve">% Avance</t>
  </si>
  <si>
    <t xml:space="preserve">Estado</t>
  </si>
  <si>
    <t xml:space="preserve">Notas / Comentarios</t>
  </si>
  <si>
    <t xml:space="preserve">1. Actividades de Inicio</t>
  </si>
  <si>
    <t xml:space="preserve">Sesión de Kick Off</t>
  </si>
  <si>
    <t xml:space="preserve">Original</t>
  </si>
  <si>
    <t xml:space="preserve">Gerente de Proyecto (Consultor)</t>
  </si>
  <si>
    <t xml:space="preserve">Presentación de alcance, cronograma y roles al equipo del cliente.</t>
  </si>
  <si>
    <t xml:space="preserve">Documentación de la sesión de Kick Off</t>
  </si>
  <si>
    <t xml:space="preserve">Información del proyecto y consideraciones técnicas</t>
  </si>
  <si>
    <t xml:space="preserve">Ingeniero de Migración</t>
  </si>
  <si>
    <t xml:space="preserve">Parámetros técnicos del servidor IMAP origen (Hostinger)</t>
  </si>
  <si>
    <t xml:space="preserve">Revisar</t>
  </si>
  <si>
    <t xml:space="preserve">Sugerencia: fusionar con la tarea de limitaciones del asistente IMAP (misma naturaleza de análisis técnico).</t>
  </si>
  <si>
    <t xml:space="preserve">Limitaciones del asistente IMAP a comunicar al equipo de VRM</t>
  </si>
  <si>
    <t xml:space="preserve">Sugerencia: fusionar con la tarea anterior (parámetros técnicos IMAP).</t>
  </si>
  <si>
    <t xml:space="preserve">Riesgos y mitigaciones</t>
  </si>
  <si>
    <t xml:space="preserve">Respaldo de información (.pst)</t>
  </si>
  <si>
    <t xml:space="preserve">Administrador TI (VRM)</t>
  </si>
  <si>
    <t xml:space="preserve">Respaldo de buzones antes de iniciar la migración.</t>
  </si>
  <si>
    <t xml:space="preserve">Documentación de desinstalación e instalación de Office 365</t>
  </si>
  <si>
    <t xml:space="preserve">Firma de acta de inicio / aprobación de alcance</t>
  </si>
  <si>
    <t xml:space="preserve">Agregada</t>
  </si>
  <si>
    <t xml:space="preserve">Cliente (VRM)</t>
  </si>
  <si>
    <t xml:space="preserve">Sugerida: formaliza el arranque y evita cambios de alcance no controlados.</t>
  </si>
  <si>
    <t xml:space="preserve">Documentación de la etapa</t>
  </si>
  <si>
    <t xml:space="preserve">2. Planificación</t>
  </si>
  <si>
    <t xml:space="preserve">Inventario de servidores</t>
  </si>
  <si>
    <t xml:space="preserve">Inventario de configuraciones</t>
  </si>
  <si>
    <t xml:space="preserve">Inventario de buzones de correo</t>
  </si>
  <si>
    <t xml:space="preserve">Clientes de acceso</t>
  </si>
  <si>
    <t xml:space="preserve">Sugerencia: podría fusionarse con el inventario de configuraciones (2.2), ya que documenta el mismo tipo de dato.</t>
  </si>
  <si>
    <t xml:space="preserve">Análisis de salud del ambiente de correo electrónico</t>
  </si>
  <si>
    <t xml:space="preserve">Construcción de la estrategia de movimiento</t>
  </si>
  <si>
    <t xml:space="preserve">Definición de ventana de migración y comunicación al cliente</t>
  </si>
  <si>
    <t xml:space="preserve">Sugerida: define fecha/horario de corte para minimizar impacto al negocio.</t>
  </si>
  <si>
    <t xml:space="preserve">Plan de comunicación a usuarios finales</t>
  </si>
  <si>
    <t xml:space="preserve">Sugerida: aviso a usuarios sobre cambios de contraseña, Outlook, fechas clave.</t>
  </si>
  <si>
    <t xml:space="preserve">3. Ejecución — Fase 1: Preparación del tenant M365</t>
  </si>
  <si>
    <t xml:space="preserve">Verificación del tenant y prerrequisitos administrativos</t>
  </si>
  <si>
    <t xml:space="preserve">Agregar y verificar el dominio de VRM en Microsoft 365</t>
  </si>
  <si>
    <t xml:space="preserve">Creación de los 80 usuarios y asignación de licencias E3</t>
  </si>
  <si>
    <t xml:space="preserve">Configuraciones previas en Exchange Online</t>
  </si>
  <si>
    <t xml:space="preserve">Deshabilitar políticas que puedan marcar correos como "faltantes"</t>
  </si>
  <si>
    <t xml:space="preserve">Aumentar la cuota del buzón si es necesario</t>
  </si>
  <si>
    <t xml:space="preserve">Configuración de MFA y políticas de seguridad condicional</t>
  </si>
  <si>
    <t xml:space="preserve">Sugerida: recomendable habilitar seguridad básica desde el arranque del tenant.</t>
  </si>
  <si>
    <t xml:space="preserve">3. Ejecución — Fase 2: Migración IMAP por lotes (EAC)</t>
  </si>
  <si>
    <t xml:space="preserve">Prueba de conectividad previa</t>
  </si>
  <si>
    <t xml:space="preserve">Preparación del archivo CSV de migración</t>
  </si>
  <si>
    <t xml:space="preserve">Crear el endpoint de migración IMAP</t>
  </si>
  <si>
    <t xml:space="preserve">Prueba piloto con grupo reducido de usuarios</t>
  </si>
  <si>
    <t xml:space="preserve">Sugerida: migrar 3-5 buzones primero para validar el proceso antes del lote completo.</t>
  </si>
  <si>
    <t xml:space="preserve">Crear el lote (batch) de migración</t>
  </si>
  <si>
    <t xml:space="preserve">Monitoreo del lote</t>
  </si>
  <si>
    <t xml:space="preserve">Resolución de los errores más comunes durante la sincronización</t>
  </si>
  <si>
    <t xml:space="preserve">3. Ejecución — Fase 3: Cambio de registros DNS</t>
  </si>
  <si>
    <t xml:space="preserve">Estrategia y consideraciones previas</t>
  </si>
  <si>
    <t xml:space="preserve">Obtener los valores DNS oficiales de Microsoft 365</t>
  </si>
  <si>
    <t xml:space="preserve">Registro MX (entrega de correo)</t>
  </si>
  <si>
    <t xml:space="preserve">Registro CNAME, Autodiscover</t>
  </si>
  <si>
    <t xml:space="preserve">Registro TXT, SPF (Sender Policy Framework)</t>
  </si>
  <si>
    <t xml:space="preserve">Registros CNAME, DKIM (DomainKeys Identified Mail)</t>
  </si>
  <si>
    <t xml:space="preserve">Registro TXT, DMARC (Domain-based Message Authentication)</t>
  </si>
  <si>
    <t xml:space="preserve">Validación post-cambio DNS</t>
  </si>
  <si>
    <t xml:space="preserve">Propagación puede tardar hasta 48 horas.</t>
  </si>
  <si>
    <t xml:space="preserve">Complementar el lote de migración</t>
  </si>
  <si>
    <t xml:space="preserve">Sugerencia: validar si no duplica la tarea 'Crear el lote de migración' de la Fase 2; podría ser el mismo paso de sincronización final.</t>
  </si>
  <si>
    <t xml:space="preserve">3. Ejecución — Fase 4: Post-migración y desmantelamiento</t>
  </si>
  <si>
    <t xml:space="preserve">Configuración de clientes Outlook en los usuarios</t>
  </si>
  <si>
    <t xml:space="preserve">Migración manual de contactos, calendarios y tareas</t>
  </si>
  <si>
    <t xml:space="preserve">Reactivación de políticas y configuración de seguridad</t>
  </si>
  <si>
    <t xml:space="preserve">Capacitación a usuarios finales (Outlook / Teams / OneDrive)</t>
  </si>
  <si>
    <t xml:space="preserve">Sugerida: reduce tickets de soporte post-migración.</t>
  </si>
  <si>
    <t xml:space="preserve">Validación funcional con el cliente</t>
  </si>
  <si>
    <t xml:space="preserve">Periodo de hipercuidado (hypercare) post-migración</t>
  </si>
  <si>
    <t xml:space="preserve">Sugerida: 2 semanas de soporte reforzado para resolver incidencias tempranas.</t>
  </si>
  <si>
    <t xml:space="preserve">Proponer el desmantelamiento del servicio Hostinger</t>
  </si>
  <si>
    <t xml:space="preserve">4. Seguimiento y control</t>
  </si>
  <si>
    <t xml:space="preserve">Planeación de sesiones de seguimiento</t>
  </si>
  <si>
    <t xml:space="preserve">Reunión semanal de seguimiento con el cliente</t>
  </si>
  <si>
    <t xml:space="preserve">Reemplaza la fila original incompleta ('Actividades de ...'), que parecía un error de captura en el archivo fuente.</t>
  </si>
  <si>
    <t xml:space="preserve">Reporte de estatus semanal</t>
  </si>
  <si>
    <t xml:space="preserve">Sugerida: control formal de avance para el cliente.</t>
  </si>
  <si>
    <t xml:space="preserve">5. Cierre</t>
  </si>
  <si>
    <t xml:space="preserve">Entrega de deliverables finales del proyecto</t>
  </si>
  <si>
    <t xml:space="preserve">Incluye: reporte de migración por buzón (origen vs destino); tabla de contraseñas iniciales (canal seguro); copia de registros DNS antes/después; respaldo PST de buzones Hostinger; guía técnica firmada como evidencia.</t>
  </si>
  <si>
    <t xml:space="preserve">Sesión de cierre y lecciones aprendidas</t>
  </si>
  <si>
    <t xml:space="preserve">Sugerida: documenta aprendizajes para futuros proyectos similares.</t>
  </si>
  <si>
    <t xml:space="preserve">Firma de acta de cierre / aceptación del cliente</t>
  </si>
  <si>
    <t xml:space="preserve">Sugerida: cierre formal del proyecto.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</si>
</sst>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33C0C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1F4E78"/>
      </patternFill>
    </fill>
    <fill>
      <patternFill patternType="solid">
        <fgColor rgb="FF2E75B6"/>
        <bgColor rgb="FF30549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833C0C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5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8" min="7" style="1" width="13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4" t="n">
        <f aca="false">DATE(2026,7,21)</f>
        <v>46224</v>
      </c>
      <c r="F2" s="3" t="s">
        <v>2</v>
      </c>
      <c r="G2" s="3"/>
      <c r="H2" s="3"/>
      <c r="I2" s="5" t="n">
        <f aca="false">AVERAGE(I6:I72)</f>
        <v>0</v>
      </c>
      <c r="J2" s="5"/>
    </row>
    <row r="3" customFormat="false" ht="27.75" hidden="false" customHeight="true" outlineLevel="0" collapsed="false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5" customFormat="false" ht="30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</row>
    <row r="6" customFormat="false" ht="19.5" hidden="false" customHeight="true" outlineLevel="0" collapsed="false">
      <c r="A6" s="8" t="s">
        <v>15</v>
      </c>
      <c r="B6" s="8"/>
      <c r="C6" s="8"/>
      <c r="D6" s="8"/>
      <c r="E6" s="8"/>
      <c r="F6" s="8"/>
      <c r="G6" s="8"/>
      <c r="H6" s="8"/>
      <c r="I6" s="9" t="n">
        <f aca="false">AVERAGE(I7:I16)</f>
        <v>0</v>
      </c>
      <c r="J6" s="9"/>
      <c r="K6" s="10"/>
    </row>
    <row r="7" customFormat="false" ht="30" hidden="false" customHeight="true" outlineLevel="0" collapsed="false">
      <c r="A7" s="11" t="n">
        <v>1</v>
      </c>
      <c r="B7" s="12" t="s">
        <v>15</v>
      </c>
      <c r="C7" s="13" t="s">
        <v>16</v>
      </c>
      <c r="D7" s="12" t="s">
        <v>17</v>
      </c>
      <c r="E7" s="12" t="s">
        <v>18</v>
      </c>
      <c r="F7" s="12" t="n">
        <v>1</v>
      </c>
      <c r="G7" s="14" t="n">
        <f aca="false">$E$2</f>
        <v>46224</v>
      </c>
      <c r="H7" s="14" t="n">
        <f aca="false">G7+F7-1</f>
        <v>46224</v>
      </c>
      <c r="I7" s="15" t="n">
        <v>0</v>
      </c>
      <c r="J7" s="12" t="str">
        <f aca="false">IF(I7=1,"Completado",IF(I7=0,"Pendiente","En progreso"))</f>
        <v>Pendiente</v>
      </c>
      <c r="K7" s="13" t="s">
        <v>19</v>
      </c>
    </row>
    <row r="8" customFormat="false" ht="30" hidden="false" customHeight="true" outlineLevel="0" collapsed="false">
      <c r="A8" s="11" t="n">
        <v>2</v>
      </c>
      <c r="B8" s="12" t="s">
        <v>15</v>
      </c>
      <c r="C8" s="13" t="s">
        <v>20</v>
      </c>
      <c r="D8" s="12" t="s">
        <v>17</v>
      </c>
      <c r="E8" s="12" t="s">
        <v>18</v>
      </c>
      <c r="F8" s="12" t="n">
        <v>1</v>
      </c>
      <c r="G8" s="14" t="n">
        <f aca="false">H7+1</f>
        <v>46225</v>
      </c>
      <c r="H8" s="14" t="n">
        <f aca="false">G8+F8-1</f>
        <v>46225</v>
      </c>
      <c r="I8" s="15" t="n">
        <v>0</v>
      </c>
      <c r="J8" s="12" t="str">
        <f aca="false">IF(I8=1,"Completado",IF(I8=0,"Pendiente","En progreso"))</f>
        <v>Pendiente</v>
      </c>
      <c r="K8" s="13"/>
    </row>
    <row r="9" customFormat="false" ht="30" hidden="false" customHeight="true" outlineLevel="0" collapsed="false">
      <c r="A9" s="11" t="n">
        <v>3</v>
      </c>
      <c r="B9" s="12" t="s">
        <v>15</v>
      </c>
      <c r="C9" s="13" t="s">
        <v>21</v>
      </c>
      <c r="D9" s="12" t="s">
        <v>17</v>
      </c>
      <c r="E9" s="12" t="s">
        <v>22</v>
      </c>
      <c r="F9" s="12" t="n">
        <v>1</v>
      </c>
      <c r="G9" s="14" t="n">
        <f aca="false">H8+1</f>
        <v>46226</v>
      </c>
      <c r="H9" s="14" t="n">
        <f aca="false">G9+F9-1</f>
        <v>46226</v>
      </c>
      <c r="I9" s="15" t="n">
        <v>0</v>
      </c>
      <c r="J9" s="12" t="str">
        <f aca="false">IF(I9=1,"Completado",IF(I9=0,"Pendiente","En progreso"))</f>
        <v>Pendiente</v>
      </c>
      <c r="K9" s="13"/>
    </row>
    <row r="10" customFormat="false" ht="30" hidden="false" customHeight="true" outlineLevel="0" collapsed="false">
      <c r="A10" s="16" t="n">
        <v>4</v>
      </c>
      <c r="B10" s="17" t="s">
        <v>15</v>
      </c>
      <c r="C10" s="18" t="s">
        <v>23</v>
      </c>
      <c r="D10" s="17" t="s">
        <v>24</v>
      </c>
      <c r="E10" s="17" t="s">
        <v>22</v>
      </c>
      <c r="F10" s="17" t="n">
        <v>1</v>
      </c>
      <c r="G10" s="19" t="n">
        <f aca="false">H9+1</f>
        <v>46227</v>
      </c>
      <c r="H10" s="19" t="n">
        <f aca="false">G10+F10-1</f>
        <v>46227</v>
      </c>
      <c r="I10" s="15" t="n">
        <v>0</v>
      </c>
      <c r="J10" s="17" t="str">
        <f aca="false">IF(I10=1,"Completado",IF(I10=0,"Pendiente","En progreso"))</f>
        <v>Pendiente</v>
      </c>
      <c r="K10" s="18" t="s">
        <v>25</v>
      </c>
    </row>
    <row r="11" customFormat="false" ht="30" hidden="false" customHeight="true" outlineLevel="0" collapsed="false">
      <c r="A11" s="16" t="n">
        <v>5</v>
      </c>
      <c r="B11" s="17" t="s">
        <v>15</v>
      </c>
      <c r="C11" s="18" t="s">
        <v>26</v>
      </c>
      <c r="D11" s="17" t="s">
        <v>24</v>
      </c>
      <c r="E11" s="17" t="s">
        <v>22</v>
      </c>
      <c r="F11" s="17" t="n">
        <v>1</v>
      </c>
      <c r="G11" s="19" t="n">
        <f aca="false">H10+1</f>
        <v>46228</v>
      </c>
      <c r="H11" s="19" t="n">
        <f aca="false">G11+F11-1</f>
        <v>46228</v>
      </c>
      <c r="I11" s="15" t="n">
        <v>0</v>
      </c>
      <c r="J11" s="17" t="str">
        <f aca="false">IF(I11=1,"Completado",IF(I11=0,"Pendiente","En progreso"))</f>
        <v>Pendiente</v>
      </c>
      <c r="K11" s="18" t="s">
        <v>27</v>
      </c>
    </row>
    <row r="12" customFormat="false" ht="30" hidden="false" customHeight="true" outlineLevel="0" collapsed="false">
      <c r="A12" s="11" t="n">
        <v>6</v>
      </c>
      <c r="B12" s="12" t="s">
        <v>15</v>
      </c>
      <c r="C12" s="13" t="s">
        <v>28</v>
      </c>
      <c r="D12" s="12" t="s">
        <v>17</v>
      </c>
      <c r="E12" s="12" t="s">
        <v>18</v>
      </c>
      <c r="F12" s="12" t="n">
        <v>1</v>
      </c>
      <c r="G12" s="14" t="n">
        <f aca="false">H11+1</f>
        <v>46229</v>
      </c>
      <c r="H12" s="14" t="n">
        <f aca="false">G12+F12-1</f>
        <v>46229</v>
      </c>
      <c r="I12" s="15" t="n">
        <v>0</v>
      </c>
      <c r="J12" s="12" t="str">
        <f aca="false">IF(I12=1,"Completado",IF(I12=0,"Pendiente","En progreso"))</f>
        <v>Pendiente</v>
      </c>
      <c r="K12" s="13"/>
    </row>
    <row r="13" customFormat="false" ht="30" hidden="false" customHeight="true" outlineLevel="0" collapsed="false">
      <c r="A13" s="11" t="n">
        <v>7</v>
      </c>
      <c r="B13" s="12" t="s">
        <v>15</v>
      </c>
      <c r="C13" s="13" t="s">
        <v>29</v>
      </c>
      <c r="D13" s="12" t="s">
        <v>17</v>
      </c>
      <c r="E13" s="12" t="s">
        <v>30</v>
      </c>
      <c r="F13" s="12" t="n">
        <v>2</v>
      </c>
      <c r="G13" s="14" t="n">
        <f aca="false">H12+1</f>
        <v>46230</v>
      </c>
      <c r="H13" s="14" t="n">
        <f aca="false">G13+F13-1</f>
        <v>46231</v>
      </c>
      <c r="I13" s="15" t="n">
        <v>0</v>
      </c>
      <c r="J13" s="12" t="str">
        <f aca="false">IF(I13=1,"Completado",IF(I13=0,"Pendiente","En progreso"))</f>
        <v>Pendiente</v>
      </c>
      <c r="K13" s="13" t="s">
        <v>31</v>
      </c>
    </row>
    <row r="14" customFormat="false" ht="30" hidden="false" customHeight="true" outlineLevel="0" collapsed="false">
      <c r="A14" s="11" t="n">
        <v>8</v>
      </c>
      <c r="B14" s="12" t="s">
        <v>15</v>
      </c>
      <c r="C14" s="13" t="s">
        <v>32</v>
      </c>
      <c r="D14" s="12" t="s">
        <v>17</v>
      </c>
      <c r="E14" s="12" t="s">
        <v>22</v>
      </c>
      <c r="F14" s="12" t="n">
        <v>1</v>
      </c>
      <c r="G14" s="14" t="n">
        <f aca="false">H13+1</f>
        <v>46232</v>
      </c>
      <c r="H14" s="14" t="n">
        <f aca="false">G14+F14-1</f>
        <v>46232</v>
      </c>
      <c r="I14" s="15" t="n">
        <v>0</v>
      </c>
      <c r="J14" s="12" t="str">
        <f aca="false">IF(I14=1,"Completado",IF(I14=0,"Pendiente","En progreso"))</f>
        <v>Pendiente</v>
      </c>
      <c r="K14" s="13"/>
    </row>
    <row r="15" customFormat="false" ht="30" hidden="false" customHeight="true" outlineLevel="0" collapsed="false">
      <c r="A15" s="20" t="n">
        <v>9</v>
      </c>
      <c r="B15" s="21" t="s">
        <v>15</v>
      </c>
      <c r="C15" s="22" t="s">
        <v>33</v>
      </c>
      <c r="D15" s="21" t="s">
        <v>34</v>
      </c>
      <c r="E15" s="21" t="s">
        <v>35</v>
      </c>
      <c r="F15" s="21" t="n">
        <v>1</v>
      </c>
      <c r="G15" s="23" t="n">
        <f aca="false">H14+1</f>
        <v>46233</v>
      </c>
      <c r="H15" s="23" t="n">
        <f aca="false">G15+F15-1</f>
        <v>46233</v>
      </c>
      <c r="I15" s="15" t="n">
        <v>0</v>
      </c>
      <c r="J15" s="21" t="str">
        <f aca="false">IF(I15=1,"Completado",IF(I15=0,"Pendiente","En progreso"))</f>
        <v>Pendiente</v>
      </c>
      <c r="K15" s="22" t="s">
        <v>36</v>
      </c>
    </row>
    <row r="16" customFormat="false" ht="30" hidden="false" customHeight="true" outlineLevel="0" collapsed="false">
      <c r="A16" s="11" t="n">
        <v>10</v>
      </c>
      <c r="B16" s="12" t="s">
        <v>15</v>
      </c>
      <c r="C16" s="13" t="s">
        <v>37</v>
      </c>
      <c r="D16" s="12" t="s">
        <v>17</v>
      </c>
      <c r="E16" s="12" t="s">
        <v>18</v>
      </c>
      <c r="F16" s="12" t="n">
        <v>1</v>
      </c>
      <c r="G16" s="14" t="n">
        <f aca="false">H15+1</f>
        <v>46234</v>
      </c>
      <c r="H16" s="14" t="n">
        <f aca="false">G16+F16-1</f>
        <v>46234</v>
      </c>
      <c r="I16" s="15" t="n">
        <v>0</v>
      </c>
      <c r="J16" s="12" t="str">
        <f aca="false">IF(I16=1,"Completado",IF(I16=0,"Pendiente","En progreso"))</f>
        <v>Pendiente</v>
      </c>
      <c r="K16" s="13"/>
    </row>
    <row r="17" customFormat="false" ht="19.5" hidden="false" customHeight="true" outlineLevel="0" collapsed="false">
      <c r="A17" s="8" t="s">
        <v>38</v>
      </c>
      <c r="B17" s="8"/>
      <c r="C17" s="8"/>
      <c r="D17" s="8"/>
      <c r="E17" s="8"/>
      <c r="F17" s="8"/>
      <c r="G17" s="8"/>
      <c r="H17" s="8"/>
      <c r="I17" s="9" t="n">
        <f aca="false">AVERAGE(I18:I26)</f>
        <v>0</v>
      </c>
      <c r="J17" s="9"/>
      <c r="K17" s="10"/>
    </row>
    <row r="18" customFormat="false" ht="30" hidden="false" customHeight="true" outlineLevel="0" collapsed="false">
      <c r="A18" s="11" t="n">
        <v>11</v>
      </c>
      <c r="B18" s="12" t="s">
        <v>38</v>
      </c>
      <c r="C18" s="13" t="s">
        <v>39</v>
      </c>
      <c r="D18" s="12" t="s">
        <v>17</v>
      </c>
      <c r="E18" s="12" t="s">
        <v>22</v>
      </c>
      <c r="F18" s="12" t="n">
        <v>1</v>
      </c>
      <c r="G18" s="14" t="n">
        <f aca="false">H16+1</f>
        <v>46235</v>
      </c>
      <c r="H18" s="14" t="n">
        <f aca="false">G18+F18-1</f>
        <v>46235</v>
      </c>
      <c r="I18" s="15" t="n">
        <v>0</v>
      </c>
      <c r="J18" s="12" t="str">
        <f aca="false">IF(I18=1,"Completado",IF(I18=0,"Pendiente","En progreso"))</f>
        <v>Pendiente</v>
      </c>
      <c r="K18" s="13"/>
    </row>
    <row r="19" customFormat="false" ht="30" hidden="false" customHeight="true" outlineLevel="0" collapsed="false">
      <c r="A19" s="11" t="n">
        <v>12</v>
      </c>
      <c r="B19" s="12" t="s">
        <v>38</v>
      </c>
      <c r="C19" s="13" t="s">
        <v>40</v>
      </c>
      <c r="D19" s="12" t="s">
        <v>17</v>
      </c>
      <c r="E19" s="12" t="s">
        <v>22</v>
      </c>
      <c r="F19" s="12" t="n">
        <v>1</v>
      </c>
      <c r="G19" s="14" t="n">
        <f aca="false">H18+1</f>
        <v>46236</v>
      </c>
      <c r="H19" s="14" t="n">
        <f aca="false">G19+F19-1</f>
        <v>46236</v>
      </c>
      <c r="I19" s="15" t="n">
        <v>0</v>
      </c>
      <c r="J19" s="12" t="str">
        <f aca="false">IF(I19=1,"Completado",IF(I19=0,"Pendiente","En progreso"))</f>
        <v>Pendiente</v>
      </c>
      <c r="K19" s="13"/>
    </row>
    <row r="20" customFormat="false" ht="30" hidden="false" customHeight="true" outlineLevel="0" collapsed="false">
      <c r="A20" s="11" t="n">
        <v>13</v>
      </c>
      <c r="B20" s="12" t="s">
        <v>38</v>
      </c>
      <c r="C20" s="13" t="s">
        <v>41</v>
      </c>
      <c r="D20" s="12" t="s">
        <v>17</v>
      </c>
      <c r="E20" s="12" t="s">
        <v>22</v>
      </c>
      <c r="F20" s="12" t="n">
        <v>2</v>
      </c>
      <c r="G20" s="14" t="n">
        <f aca="false">H19+1</f>
        <v>46237</v>
      </c>
      <c r="H20" s="14" t="n">
        <f aca="false">G20+F20-1</f>
        <v>46238</v>
      </c>
      <c r="I20" s="15" t="n">
        <v>0</v>
      </c>
      <c r="J20" s="12" t="str">
        <f aca="false">IF(I20=1,"Completado",IF(I20=0,"Pendiente","En progreso"))</f>
        <v>Pendiente</v>
      </c>
      <c r="K20" s="13"/>
    </row>
    <row r="21" customFormat="false" ht="30" hidden="false" customHeight="true" outlineLevel="0" collapsed="false">
      <c r="A21" s="16" t="n">
        <v>14</v>
      </c>
      <c r="B21" s="17" t="s">
        <v>38</v>
      </c>
      <c r="C21" s="18" t="s">
        <v>42</v>
      </c>
      <c r="D21" s="17" t="s">
        <v>24</v>
      </c>
      <c r="E21" s="17" t="s">
        <v>22</v>
      </c>
      <c r="F21" s="17" t="n">
        <v>1</v>
      </c>
      <c r="G21" s="19" t="n">
        <f aca="false">H20+1</f>
        <v>46239</v>
      </c>
      <c r="H21" s="19" t="n">
        <f aca="false">G21+F21-1</f>
        <v>46239</v>
      </c>
      <c r="I21" s="15" t="n">
        <v>0</v>
      </c>
      <c r="J21" s="17" t="str">
        <f aca="false">IF(I21=1,"Completado",IF(I21=0,"Pendiente","En progreso"))</f>
        <v>Pendiente</v>
      </c>
      <c r="K21" s="18" t="s">
        <v>43</v>
      </c>
    </row>
    <row r="22" customFormat="false" ht="30" hidden="false" customHeight="true" outlineLevel="0" collapsed="false">
      <c r="A22" s="11" t="n">
        <v>15</v>
      </c>
      <c r="B22" s="12" t="s">
        <v>38</v>
      </c>
      <c r="C22" s="13" t="s">
        <v>44</v>
      </c>
      <c r="D22" s="12" t="s">
        <v>17</v>
      </c>
      <c r="E22" s="12" t="s">
        <v>22</v>
      </c>
      <c r="F22" s="12" t="n">
        <v>2</v>
      </c>
      <c r="G22" s="14" t="n">
        <f aca="false">H21+1</f>
        <v>46240</v>
      </c>
      <c r="H22" s="14" t="n">
        <f aca="false">G22+F22-1</f>
        <v>46241</v>
      </c>
      <c r="I22" s="15" t="n">
        <v>0</v>
      </c>
      <c r="J22" s="12" t="str">
        <f aca="false">IF(I22=1,"Completado",IF(I22=0,"Pendiente","En progreso"))</f>
        <v>Pendiente</v>
      </c>
      <c r="K22" s="13"/>
    </row>
    <row r="23" customFormat="false" ht="30" hidden="false" customHeight="true" outlineLevel="0" collapsed="false">
      <c r="A23" s="11" t="n">
        <v>16</v>
      </c>
      <c r="B23" s="12" t="s">
        <v>38</v>
      </c>
      <c r="C23" s="13" t="s">
        <v>45</v>
      </c>
      <c r="D23" s="12" t="s">
        <v>17</v>
      </c>
      <c r="E23" s="12" t="s">
        <v>18</v>
      </c>
      <c r="F23" s="12" t="n">
        <v>2</v>
      </c>
      <c r="G23" s="14" t="n">
        <f aca="false">H22+1</f>
        <v>46242</v>
      </c>
      <c r="H23" s="14" t="n">
        <f aca="false">G23+F23-1</f>
        <v>46243</v>
      </c>
      <c r="I23" s="15" t="n">
        <v>0</v>
      </c>
      <c r="J23" s="12" t="str">
        <f aca="false">IF(I23=1,"Completado",IF(I23=0,"Pendiente","En progreso"))</f>
        <v>Pendiente</v>
      </c>
      <c r="K23" s="13"/>
    </row>
    <row r="24" customFormat="false" ht="30" hidden="false" customHeight="true" outlineLevel="0" collapsed="false">
      <c r="A24" s="20" t="n">
        <v>17</v>
      </c>
      <c r="B24" s="21" t="s">
        <v>38</v>
      </c>
      <c r="C24" s="22" t="s">
        <v>46</v>
      </c>
      <c r="D24" s="21" t="s">
        <v>34</v>
      </c>
      <c r="E24" s="21" t="s">
        <v>18</v>
      </c>
      <c r="F24" s="21" t="n">
        <v>1</v>
      </c>
      <c r="G24" s="23" t="n">
        <f aca="false">H23+1</f>
        <v>46244</v>
      </c>
      <c r="H24" s="23" t="n">
        <f aca="false">G24+F24-1</f>
        <v>46244</v>
      </c>
      <c r="I24" s="15" t="n">
        <v>0</v>
      </c>
      <c r="J24" s="21" t="str">
        <f aca="false">IF(I24=1,"Completado",IF(I24=0,"Pendiente","En progreso"))</f>
        <v>Pendiente</v>
      </c>
      <c r="K24" s="22" t="s">
        <v>47</v>
      </c>
    </row>
    <row r="25" customFormat="false" ht="30" hidden="false" customHeight="true" outlineLevel="0" collapsed="false">
      <c r="A25" s="20" t="n">
        <v>18</v>
      </c>
      <c r="B25" s="21" t="s">
        <v>38</v>
      </c>
      <c r="C25" s="22" t="s">
        <v>48</v>
      </c>
      <c r="D25" s="21" t="s">
        <v>34</v>
      </c>
      <c r="E25" s="21" t="s">
        <v>35</v>
      </c>
      <c r="F25" s="21" t="n">
        <v>1</v>
      </c>
      <c r="G25" s="23" t="n">
        <f aca="false">H24+1</f>
        <v>46245</v>
      </c>
      <c r="H25" s="23" t="n">
        <f aca="false">G25+F25-1</f>
        <v>46245</v>
      </c>
      <c r="I25" s="15" t="n">
        <v>0</v>
      </c>
      <c r="J25" s="21" t="str">
        <f aca="false">IF(I25=1,"Completado",IF(I25=0,"Pendiente","En progreso"))</f>
        <v>Pendiente</v>
      </c>
      <c r="K25" s="22" t="s">
        <v>49</v>
      </c>
    </row>
    <row r="26" customFormat="false" ht="30" hidden="false" customHeight="true" outlineLevel="0" collapsed="false">
      <c r="A26" s="11" t="n">
        <v>19</v>
      </c>
      <c r="B26" s="12" t="s">
        <v>38</v>
      </c>
      <c r="C26" s="13" t="s">
        <v>37</v>
      </c>
      <c r="D26" s="12" t="s">
        <v>17</v>
      </c>
      <c r="E26" s="12" t="s">
        <v>18</v>
      </c>
      <c r="F26" s="12" t="n">
        <v>1</v>
      </c>
      <c r="G26" s="14" t="n">
        <f aca="false">H25+1</f>
        <v>46246</v>
      </c>
      <c r="H26" s="14" t="n">
        <f aca="false">G26+F26-1</f>
        <v>46246</v>
      </c>
      <c r="I26" s="15" t="n">
        <v>0</v>
      </c>
      <c r="J26" s="12" t="str">
        <f aca="false">IF(I26=1,"Completado",IF(I26=0,"Pendiente","En progreso"))</f>
        <v>Pendiente</v>
      </c>
      <c r="K26" s="13"/>
    </row>
    <row r="27" customFormat="false" ht="19.5" hidden="false" customHeight="true" outlineLevel="0" collapsed="false">
      <c r="A27" s="8" t="s">
        <v>50</v>
      </c>
      <c r="B27" s="8"/>
      <c r="C27" s="8"/>
      <c r="D27" s="8"/>
      <c r="E27" s="8"/>
      <c r="F27" s="8"/>
      <c r="G27" s="8"/>
      <c r="H27" s="8"/>
      <c r="I27" s="9" t="n">
        <f aca="false">AVERAGE(I28:I35)</f>
        <v>0</v>
      </c>
      <c r="J27" s="9"/>
      <c r="K27" s="10"/>
    </row>
    <row r="28" customFormat="false" ht="30" hidden="false" customHeight="true" outlineLevel="0" collapsed="false">
      <c r="A28" s="11" t="n">
        <v>20</v>
      </c>
      <c r="B28" s="12" t="s">
        <v>50</v>
      </c>
      <c r="C28" s="13" t="s">
        <v>51</v>
      </c>
      <c r="D28" s="12" t="s">
        <v>17</v>
      </c>
      <c r="E28" s="12" t="s">
        <v>22</v>
      </c>
      <c r="F28" s="12" t="n">
        <v>1</v>
      </c>
      <c r="G28" s="14" t="n">
        <f aca="false">H26+1</f>
        <v>46247</v>
      </c>
      <c r="H28" s="14" t="n">
        <f aca="false">G28+F28-1</f>
        <v>46247</v>
      </c>
      <c r="I28" s="15" t="n">
        <v>0</v>
      </c>
      <c r="J28" s="12" t="str">
        <f aca="false">IF(I28=1,"Completado",IF(I28=0,"Pendiente","En progreso"))</f>
        <v>Pendiente</v>
      </c>
      <c r="K28" s="13"/>
    </row>
    <row r="29" customFormat="false" ht="30" hidden="false" customHeight="true" outlineLevel="0" collapsed="false">
      <c r="A29" s="11" t="n">
        <v>21</v>
      </c>
      <c r="B29" s="12" t="s">
        <v>50</v>
      </c>
      <c r="C29" s="13" t="s">
        <v>52</v>
      </c>
      <c r="D29" s="12" t="s">
        <v>17</v>
      </c>
      <c r="E29" s="12" t="s">
        <v>22</v>
      </c>
      <c r="F29" s="12" t="n">
        <v>1</v>
      </c>
      <c r="G29" s="14" t="n">
        <f aca="false">H28+1</f>
        <v>46248</v>
      </c>
      <c r="H29" s="14" t="n">
        <f aca="false">G29+F29-1</f>
        <v>46248</v>
      </c>
      <c r="I29" s="15" t="n">
        <v>0</v>
      </c>
      <c r="J29" s="12" t="str">
        <f aca="false">IF(I29=1,"Completado",IF(I29=0,"Pendiente","En progreso"))</f>
        <v>Pendiente</v>
      </c>
      <c r="K29" s="13"/>
    </row>
    <row r="30" customFormat="false" ht="30" hidden="false" customHeight="true" outlineLevel="0" collapsed="false">
      <c r="A30" s="11" t="n">
        <v>22</v>
      </c>
      <c r="B30" s="12" t="s">
        <v>50</v>
      </c>
      <c r="C30" s="13" t="s">
        <v>53</v>
      </c>
      <c r="D30" s="12" t="s">
        <v>17</v>
      </c>
      <c r="E30" s="12" t="s">
        <v>30</v>
      </c>
      <c r="F30" s="12" t="n">
        <v>2</v>
      </c>
      <c r="G30" s="14" t="n">
        <f aca="false">H29+1</f>
        <v>46249</v>
      </c>
      <c r="H30" s="14" t="n">
        <f aca="false">G30+F30-1</f>
        <v>46250</v>
      </c>
      <c r="I30" s="15" t="n">
        <v>0</v>
      </c>
      <c r="J30" s="12" t="str">
        <f aca="false">IF(I30=1,"Completado",IF(I30=0,"Pendiente","En progreso"))</f>
        <v>Pendiente</v>
      </c>
      <c r="K30" s="13"/>
    </row>
    <row r="31" customFormat="false" ht="30" hidden="false" customHeight="true" outlineLevel="0" collapsed="false">
      <c r="A31" s="11" t="n">
        <v>23</v>
      </c>
      <c r="B31" s="12" t="s">
        <v>50</v>
      </c>
      <c r="C31" s="13" t="s">
        <v>54</v>
      </c>
      <c r="D31" s="12" t="s">
        <v>17</v>
      </c>
      <c r="E31" s="12" t="s">
        <v>22</v>
      </c>
      <c r="F31" s="12" t="n">
        <v>1</v>
      </c>
      <c r="G31" s="14" t="n">
        <f aca="false">H30+1</f>
        <v>46251</v>
      </c>
      <c r="H31" s="14" t="n">
        <f aca="false">G31+F31-1</f>
        <v>46251</v>
      </c>
      <c r="I31" s="15" t="n">
        <v>0</v>
      </c>
      <c r="J31" s="12" t="str">
        <f aca="false">IF(I31=1,"Completado",IF(I31=0,"Pendiente","En progreso"))</f>
        <v>Pendiente</v>
      </c>
      <c r="K31" s="13"/>
    </row>
    <row r="32" customFormat="false" ht="30" hidden="false" customHeight="true" outlineLevel="0" collapsed="false">
      <c r="A32" s="11" t="n">
        <v>24</v>
      </c>
      <c r="B32" s="12" t="s">
        <v>50</v>
      </c>
      <c r="C32" s="13" t="s">
        <v>55</v>
      </c>
      <c r="D32" s="12" t="s">
        <v>17</v>
      </c>
      <c r="E32" s="12" t="s">
        <v>22</v>
      </c>
      <c r="F32" s="12" t="n">
        <v>1</v>
      </c>
      <c r="G32" s="14" t="n">
        <f aca="false">H31+1</f>
        <v>46252</v>
      </c>
      <c r="H32" s="14" t="n">
        <f aca="false">G32+F32-1</f>
        <v>46252</v>
      </c>
      <c r="I32" s="15" t="n">
        <v>0</v>
      </c>
      <c r="J32" s="12" t="str">
        <f aca="false">IF(I32=1,"Completado",IF(I32=0,"Pendiente","En progreso"))</f>
        <v>Pendiente</v>
      </c>
      <c r="K32" s="13"/>
    </row>
    <row r="33" customFormat="false" ht="30" hidden="false" customHeight="true" outlineLevel="0" collapsed="false">
      <c r="A33" s="11" t="n">
        <v>25</v>
      </c>
      <c r="B33" s="12" t="s">
        <v>50</v>
      </c>
      <c r="C33" s="13" t="s">
        <v>56</v>
      </c>
      <c r="D33" s="12" t="s">
        <v>17</v>
      </c>
      <c r="E33" s="12" t="s">
        <v>22</v>
      </c>
      <c r="F33" s="12" t="n">
        <v>1</v>
      </c>
      <c r="G33" s="14" t="n">
        <f aca="false">H32+1</f>
        <v>46253</v>
      </c>
      <c r="H33" s="14" t="n">
        <f aca="false">G33+F33-1</f>
        <v>46253</v>
      </c>
      <c r="I33" s="15" t="n">
        <v>0</v>
      </c>
      <c r="J33" s="12" t="str">
        <f aca="false">IF(I33=1,"Completado",IF(I33=0,"Pendiente","En progreso"))</f>
        <v>Pendiente</v>
      </c>
      <c r="K33" s="13"/>
    </row>
    <row r="34" customFormat="false" ht="30" hidden="false" customHeight="true" outlineLevel="0" collapsed="false">
      <c r="A34" s="20" t="n">
        <v>26</v>
      </c>
      <c r="B34" s="21" t="s">
        <v>50</v>
      </c>
      <c r="C34" s="22" t="s">
        <v>57</v>
      </c>
      <c r="D34" s="21" t="s">
        <v>34</v>
      </c>
      <c r="E34" s="21" t="s">
        <v>22</v>
      </c>
      <c r="F34" s="21" t="n">
        <v>1</v>
      </c>
      <c r="G34" s="23" t="n">
        <f aca="false">H33+1</f>
        <v>46254</v>
      </c>
      <c r="H34" s="23" t="n">
        <f aca="false">G34+F34-1</f>
        <v>46254</v>
      </c>
      <c r="I34" s="15" t="n">
        <v>0</v>
      </c>
      <c r="J34" s="21" t="str">
        <f aca="false">IF(I34=1,"Completado",IF(I34=0,"Pendiente","En progreso"))</f>
        <v>Pendiente</v>
      </c>
      <c r="K34" s="22" t="s">
        <v>58</v>
      </c>
    </row>
    <row r="35" customFormat="false" ht="30" hidden="false" customHeight="true" outlineLevel="0" collapsed="false">
      <c r="A35" s="11" t="n">
        <v>27</v>
      </c>
      <c r="B35" s="12" t="s">
        <v>50</v>
      </c>
      <c r="C35" s="13" t="s">
        <v>37</v>
      </c>
      <c r="D35" s="12" t="s">
        <v>17</v>
      </c>
      <c r="E35" s="12" t="s">
        <v>22</v>
      </c>
      <c r="F35" s="12" t="n">
        <v>1</v>
      </c>
      <c r="G35" s="14" t="n">
        <f aca="false">H34+1</f>
        <v>46255</v>
      </c>
      <c r="H35" s="14" t="n">
        <f aca="false">G35+F35-1</f>
        <v>46255</v>
      </c>
      <c r="I35" s="15" t="n">
        <v>0</v>
      </c>
      <c r="J35" s="12" t="str">
        <f aca="false">IF(I35=1,"Completado",IF(I35=0,"Pendiente","En progreso"))</f>
        <v>Pendiente</v>
      </c>
      <c r="K35" s="13"/>
    </row>
    <row r="36" customFormat="false" ht="19.5" hidden="false" customHeight="true" outlineLevel="0" collapsed="false">
      <c r="A36" s="8" t="s">
        <v>59</v>
      </c>
      <c r="B36" s="8"/>
      <c r="C36" s="8"/>
      <c r="D36" s="8"/>
      <c r="E36" s="8"/>
      <c r="F36" s="8"/>
      <c r="G36" s="8"/>
      <c r="H36" s="8"/>
      <c r="I36" s="9" t="n">
        <f aca="false">AVERAGE(I37:I44)</f>
        <v>0</v>
      </c>
      <c r="J36" s="9"/>
      <c r="K36" s="10"/>
    </row>
    <row r="37" customFormat="false" ht="30" hidden="false" customHeight="true" outlineLevel="0" collapsed="false">
      <c r="A37" s="11" t="n">
        <v>28</v>
      </c>
      <c r="B37" s="12" t="s">
        <v>59</v>
      </c>
      <c r="C37" s="13" t="s">
        <v>60</v>
      </c>
      <c r="D37" s="12" t="s">
        <v>17</v>
      </c>
      <c r="E37" s="12" t="s">
        <v>22</v>
      </c>
      <c r="F37" s="12" t="n">
        <v>1</v>
      </c>
      <c r="G37" s="14" t="n">
        <f aca="false">H35+1</f>
        <v>46256</v>
      </c>
      <c r="H37" s="14" t="n">
        <f aca="false">G37+F37-1</f>
        <v>46256</v>
      </c>
      <c r="I37" s="15" t="n">
        <v>0</v>
      </c>
      <c r="J37" s="12" t="str">
        <f aca="false">IF(I37=1,"Completado",IF(I37=0,"Pendiente","En progreso"))</f>
        <v>Pendiente</v>
      </c>
      <c r="K37" s="13"/>
    </row>
    <row r="38" customFormat="false" ht="30" hidden="false" customHeight="true" outlineLevel="0" collapsed="false">
      <c r="A38" s="11" t="n">
        <v>29</v>
      </c>
      <c r="B38" s="12" t="s">
        <v>59</v>
      </c>
      <c r="C38" s="13" t="s">
        <v>61</v>
      </c>
      <c r="D38" s="12" t="s">
        <v>17</v>
      </c>
      <c r="E38" s="12" t="s">
        <v>22</v>
      </c>
      <c r="F38" s="12" t="n">
        <v>1</v>
      </c>
      <c r="G38" s="14" t="n">
        <f aca="false">H37+1</f>
        <v>46257</v>
      </c>
      <c r="H38" s="14" t="n">
        <f aca="false">G38+F38-1</f>
        <v>46257</v>
      </c>
      <c r="I38" s="15" t="n">
        <v>0</v>
      </c>
      <c r="J38" s="12" t="str">
        <f aca="false">IF(I38=1,"Completado",IF(I38=0,"Pendiente","En progreso"))</f>
        <v>Pendiente</v>
      </c>
      <c r="K38" s="13"/>
    </row>
    <row r="39" customFormat="false" ht="30" hidden="false" customHeight="true" outlineLevel="0" collapsed="false">
      <c r="A39" s="11" t="n">
        <v>30</v>
      </c>
      <c r="B39" s="12" t="s">
        <v>59</v>
      </c>
      <c r="C39" s="13" t="s">
        <v>62</v>
      </c>
      <c r="D39" s="12" t="s">
        <v>17</v>
      </c>
      <c r="E39" s="12" t="s">
        <v>22</v>
      </c>
      <c r="F39" s="12" t="n">
        <v>1</v>
      </c>
      <c r="G39" s="14" t="n">
        <f aca="false">H38+1</f>
        <v>46258</v>
      </c>
      <c r="H39" s="14" t="n">
        <f aca="false">G39+F39-1</f>
        <v>46258</v>
      </c>
      <c r="I39" s="15" t="n">
        <v>0</v>
      </c>
      <c r="J39" s="12" t="str">
        <f aca="false">IF(I39=1,"Completado",IF(I39=0,"Pendiente","En progreso"))</f>
        <v>Pendiente</v>
      </c>
      <c r="K39" s="13"/>
    </row>
    <row r="40" customFormat="false" ht="30" hidden="false" customHeight="true" outlineLevel="0" collapsed="false">
      <c r="A40" s="20" t="n">
        <v>31</v>
      </c>
      <c r="B40" s="21" t="s">
        <v>59</v>
      </c>
      <c r="C40" s="22" t="s">
        <v>63</v>
      </c>
      <c r="D40" s="21" t="s">
        <v>34</v>
      </c>
      <c r="E40" s="21" t="s">
        <v>22</v>
      </c>
      <c r="F40" s="21" t="n">
        <v>2</v>
      </c>
      <c r="G40" s="23" t="n">
        <f aca="false">H39+1</f>
        <v>46259</v>
      </c>
      <c r="H40" s="23" t="n">
        <f aca="false">G40+F40-1</f>
        <v>46260</v>
      </c>
      <c r="I40" s="15" t="n">
        <v>0</v>
      </c>
      <c r="J40" s="21" t="str">
        <f aca="false">IF(I40=1,"Completado",IF(I40=0,"Pendiente","En progreso"))</f>
        <v>Pendiente</v>
      </c>
      <c r="K40" s="22" t="s">
        <v>64</v>
      </c>
    </row>
    <row r="41" customFormat="false" ht="30" hidden="false" customHeight="true" outlineLevel="0" collapsed="false">
      <c r="A41" s="11" t="n">
        <v>32</v>
      </c>
      <c r="B41" s="12" t="s">
        <v>59</v>
      </c>
      <c r="C41" s="13" t="s">
        <v>65</v>
      </c>
      <c r="D41" s="12" t="s">
        <v>17</v>
      </c>
      <c r="E41" s="12" t="s">
        <v>22</v>
      </c>
      <c r="F41" s="12" t="n">
        <v>1</v>
      </c>
      <c r="G41" s="14" t="n">
        <f aca="false">H40+1</f>
        <v>46261</v>
      </c>
      <c r="H41" s="14" t="n">
        <f aca="false">G41+F41-1</f>
        <v>46261</v>
      </c>
      <c r="I41" s="15" t="n">
        <v>0</v>
      </c>
      <c r="J41" s="12" t="str">
        <f aca="false">IF(I41=1,"Completado",IF(I41=0,"Pendiente","En progreso"))</f>
        <v>Pendiente</v>
      </c>
      <c r="K41" s="13"/>
    </row>
    <row r="42" customFormat="false" ht="30" hidden="false" customHeight="true" outlineLevel="0" collapsed="false">
      <c r="A42" s="11" t="n">
        <v>33</v>
      </c>
      <c r="B42" s="12" t="s">
        <v>59</v>
      </c>
      <c r="C42" s="13" t="s">
        <v>66</v>
      </c>
      <c r="D42" s="12" t="s">
        <v>17</v>
      </c>
      <c r="E42" s="12" t="s">
        <v>22</v>
      </c>
      <c r="F42" s="12" t="n">
        <v>3</v>
      </c>
      <c r="G42" s="14" t="n">
        <f aca="false">H41+1</f>
        <v>46262</v>
      </c>
      <c r="H42" s="14" t="n">
        <f aca="false">G42+F42-1</f>
        <v>46264</v>
      </c>
      <c r="I42" s="15" t="n">
        <v>0</v>
      </c>
      <c r="J42" s="12" t="str">
        <f aca="false">IF(I42=1,"Completado",IF(I42=0,"Pendiente","En progreso"))</f>
        <v>Pendiente</v>
      </c>
      <c r="K42" s="13"/>
    </row>
    <row r="43" customFormat="false" ht="30" hidden="false" customHeight="true" outlineLevel="0" collapsed="false">
      <c r="A43" s="11" t="n">
        <v>34</v>
      </c>
      <c r="B43" s="12" t="s">
        <v>59</v>
      </c>
      <c r="C43" s="13" t="s">
        <v>67</v>
      </c>
      <c r="D43" s="12" t="s">
        <v>17</v>
      </c>
      <c r="E43" s="12" t="s">
        <v>22</v>
      </c>
      <c r="F43" s="12" t="n">
        <v>2</v>
      </c>
      <c r="G43" s="14" t="n">
        <f aca="false">H42+1</f>
        <v>46265</v>
      </c>
      <c r="H43" s="14" t="n">
        <f aca="false">G43+F43-1</f>
        <v>46266</v>
      </c>
      <c r="I43" s="15" t="n">
        <v>0</v>
      </c>
      <c r="J43" s="12" t="str">
        <f aca="false">IF(I43=1,"Completado",IF(I43=0,"Pendiente","En progreso"))</f>
        <v>Pendiente</v>
      </c>
      <c r="K43" s="13"/>
    </row>
    <row r="44" customFormat="false" ht="30" hidden="false" customHeight="true" outlineLevel="0" collapsed="false">
      <c r="A44" s="11" t="n">
        <v>35</v>
      </c>
      <c r="B44" s="12" t="s">
        <v>59</v>
      </c>
      <c r="C44" s="13" t="s">
        <v>37</v>
      </c>
      <c r="D44" s="12" t="s">
        <v>17</v>
      </c>
      <c r="E44" s="12" t="s">
        <v>22</v>
      </c>
      <c r="F44" s="12" t="n">
        <v>1</v>
      </c>
      <c r="G44" s="14" t="n">
        <f aca="false">H43+1</f>
        <v>46267</v>
      </c>
      <c r="H44" s="14" t="n">
        <f aca="false">G44+F44-1</f>
        <v>46267</v>
      </c>
      <c r="I44" s="15" t="n">
        <v>0</v>
      </c>
      <c r="J44" s="12" t="str">
        <f aca="false">IF(I44=1,"Completado",IF(I44=0,"Pendiente","En progreso"))</f>
        <v>Pendiente</v>
      </c>
      <c r="K44" s="13"/>
    </row>
    <row r="45" customFormat="false" ht="19.5" hidden="false" customHeight="true" outlineLevel="0" collapsed="false">
      <c r="A45" s="8" t="s">
        <v>68</v>
      </c>
      <c r="B45" s="8"/>
      <c r="C45" s="8"/>
      <c r="D45" s="8"/>
      <c r="E45" s="8"/>
      <c r="F45" s="8"/>
      <c r="G45" s="8"/>
      <c r="H45" s="8"/>
      <c r="I45" s="9" t="n">
        <f aca="false">AVERAGE(I46:I55)</f>
        <v>0</v>
      </c>
      <c r="J45" s="9"/>
      <c r="K45" s="10"/>
    </row>
    <row r="46" customFormat="false" ht="30" hidden="false" customHeight="true" outlineLevel="0" collapsed="false">
      <c r="A46" s="11" t="n">
        <v>36</v>
      </c>
      <c r="B46" s="12" t="s">
        <v>68</v>
      </c>
      <c r="C46" s="13" t="s">
        <v>69</v>
      </c>
      <c r="D46" s="12" t="s">
        <v>17</v>
      </c>
      <c r="E46" s="12" t="s">
        <v>22</v>
      </c>
      <c r="F46" s="12" t="n">
        <v>1</v>
      </c>
      <c r="G46" s="14" t="n">
        <f aca="false">H44+1</f>
        <v>46268</v>
      </c>
      <c r="H46" s="14" t="n">
        <f aca="false">G46+F46-1</f>
        <v>46268</v>
      </c>
      <c r="I46" s="15" t="n">
        <v>0</v>
      </c>
      <c r="J46" s="12" t="str">
        <f aca="false">IF(I46=1,"Completado",IF(I46=0,"Pendiente","En progreso"))</f>
        <v>Pendiente</v>
      </c>
      <c r="K46" s="13"/>
    </row>
    <row r="47" customFormat="false" ht="30" hidden="false" customHeight="true" outlineLevel="0" collapsed="false">
      <c r="A47" s="11" t="n">
        <v>37</v>
      </c>
      <c r="B47" s="12" t="s">
        <v>68</v>
      </c>
      <c r="C47" s="13" t="s">
        <v>70</v>
      </c>
      <c r="D47" s="12" t="s">
        <v>17</v>
      </c>
      <c r="E47" s="12" t="s">
        <v>22</v>
      </c>
      <c r="F47" s="12" t="n">
        <v>1</v>
      </c>
      <c r="G47" s="14" t="n">
        <f aca="false">H46+1</f>
        <v>46269</v>
      </c>
      <c r="H47" s="14" t="n">
        <f aca="false">G47+F47-1</f>
        <v>46269</v>
      </c>
      <c r="I47" s="15" t="n">
        <v>0</v>
      </c>
      <c r="J47" s="12" t="str">
        <f aca="false">IF(I47=1,"Completado",IF(I47=0,"Pendiente","En progreso"))</f>
        <v>Pendiente</v>
      </c>
      <c r="K47" s="13"/>
    </row>
    <row r="48" customFormat="false" ht="30" hidden="false" customHeight="true" outlineLevel="0" collapsed="false">
      <c r="A48" s="11" t="n">
        <v>38</v>
      </c>
      <c r="B48" s="12" t="s">
        <v>68</v>
      </c>
      <c r="C48" s="13" t="s">
        <v>71</v>
      </c>
      <c r="D48" s="12" t="s">
        <v>17</v>
      </c>
      <c r="E48" s="12" t="s">
        <v>30</v>
      </c>
      <c r="F48" s="12" t="n">
        <v>1</v>
      </c>
      <c r="G48" s="14" t="n">
        <f aca="false">H47+1</f>
        <v>46270</v>
      </c>
      <c r="H48" s="14" t="n">
        <f aca="false">G48+F48-1</f>
        <v>46270</v>
      </c>
      <c r="I48" s="15" t="n">
        <v>0</v>
      </c>
      <c r="J48" s="12" t="str">
        <f aca="false">IF(I48=1,"Completado",IF(I48=0,"Pendiente","En progreso"))</f>
        <v>Pendiente</v>
      </c>
      <c r="K48" s="13"/>
    </row>
    <row r="49" customFormat="false" ht="30" hidden="false" customHeight="true" outlineLevel="0" collapsed="false">
      <c r="A49" s="11" t="n">
        <v>39</v>
      </c>
      <c r="B49" s="12" t="s">
        <v>68</v>
      </c>
      <c r="C49" s="13" t="s">
        <v>72</v>
      </c>
      <c r="D49" s="12" t="s">
        <v>17</v>
      </c>
      <c r="E49" s="12" t="s">
        <v>30</v>
      </c>
      <c r="F49" s="12" t="n">
        <v>1</v>
      </c>
      <c r="G49" s="14" t="n">
        <f aca="false">H48+1</f>
        <v>46271</v>
      </c>
      <c r="H49" s="14" t="n">
        <f aca="false">G49+F49-1</f>
        <v>46271</v>
      </c>
      <c r="I49" s="15" t="n">
        <v>0</v>
      </c>
      <c r="J49" s="12" t="str">
        <f aca="false">IF(I49=1,"Completado",IF(I49=0,"Pendiente","En progreso"))</f>
        <v>Pendiente</v>
      </c>
      <c r="K49" s="13"/>
    </row>
    <row r="50" customFormat="false" ht="30" hidden="false" customHeight="true" outlineLevel="0" collapsed="false">
      <c r="A50" s="11" t="n">
        <v>40</v>
      </c>
      <c r="B50" s="12" t="s">
        <v>68</v>
      </c>
      <c r="C50" s="13" t="s">
        <v>73</v>
      </c>
      <c r="D50" s="12" t="s">
        <v>17</v>
      </c>
      <c r="E50" s="12" t="s">
        <v>30</v>
      </c>
      <c r="F50" s="12" t="n">
        <v>1</v>
      </c>
      <c r="G50" s="14" t="n">
        <f aca="false">H49+1</f>
        <v>46272</v>
      </c>
      <c r="H50" s="14" t="n">
        <f aca="false">G50+F50-1</f>
        <v>46272</v>
      </c>
      <c r="I50" s="15" t="n">
        <v>0</v>
      </c>
      <c r="J50" s="12" t="str">
        <f aca="false">IF(I50=1,"Completado",IF(I50=0,"Pendiente","En progreso"))</f>
        <v>Pendiente</v>
      </c>
      <c r="K50" s="13"/>
    </row>
    <row r="51" customFormat="false" ht="30" hidden="false" customHeight="true" outlineLevel="0" collapsed="false">
      <c r="A51" s="11" t="n">
        <v>41</v>
      </c>
      <c r="B51" s="12" t="s">
        <v>68</v>
      </c>
      <c r="C51" s="13" t="s">
        <v>74</v>
      </c>
      <c r="D51" s="12" t="s">
        <v>17</v>
      </c>
      <c r="E51" s="12" t="s">
        <v>30</v>
      </c>
      <c r="F51" s="12" t="n">
        <v>1</v>
      </c>
      <c r="G51" s="14" t="n">
        <f aca="false">H50+1</f>
        <v>46273</v>
      </c>
      <c r="H51" s="14" t="n">
        <f aca="false">G51+F51-1</f>
        <v>46273</v>
      </c>
      <c r="I51" s="15" t="n">
        <v>0</v>
      </c>
      <c r="J51" s="12" t="str">
        <f aca="false">IF(I51=1,"Completado",IF(I51=0,"Pendiente","En progreso"))</f>
        <v>Pendiente</v>
      </c>
      <c r="K51" s="13"/>
    </row>
    <row r="52" customFormat="false" ht="30" hidden="false" customHeight="true" outlineLevel="0" collapsed="false">
      <c r="A52" s="11" t="n">
        <v>42</v>
      </c>
      <c r="B52" s="12" t="s">
        <v>68</v>
      </c>
      <c r="C52" s="13" t="s">
        <v>75</v>
      </c>
      <c r="D52" s="12" t="s">
        <v>17</v>
      </c>
      <c r="E52" s="12" t="s">
        <v>30</v>
      </c>
      <c r="F52" s="12" t="n">
        <v>1</v>
      </c>
      <c r="G52" s="14" t="n">
        <f aca="false">H51+1</f>
        <v>46274</v>
      </c>
      <c r="H52" s="14" t="n">
        <f aca="false">G52+F52-1</f>
        <v>46274</v>
      </c>
      <c r="I52" s="15" t="n">
        <v>0</v>
      </c>
      <c r="J52" s="12" t="str">
        <f aca="false">IF(I52=1,"Completado",IF(I52=0,"Pendiente","En progreso"))</f>
        <v>Pendiente</v>
      </c>
      <c r="K52" s="13"/>
    </row>
    <row r="53" customFormat="false" ht="30" hidden="false" customHeight="true" outlineLevel="0" collapsed="false">
      <c r="A53" s="11" t="n">
        <v>43</v>
      </c>
      <c r="B53" s="12" t="s">
        <v>68</v>
      </c>
      <c r="C53" s="13" t="s">
        <v>76</v>
      </c>
      <c r="D53" s="12" t="s">
        <v>17</v>
      </c>
      <c r="E53" s="12" t="s">
        <v>22</v>
      </c>
      <c r="F53" s="12" t="n">
        <v>1</v>
      </c>
      <c r="G53" s="14" t="n">
        <f aca="false">H52+1</f>
        <v>46275</v>
      </c>
      <c r="H53" s="14" t="n">
        <f aca="false">G53+F53-1</f>
        <v>46275</v>
      </c>
      <c r="I53" s="15" t="n">
        <v>0</v>
      </c>
      <c r="J53" s="12" t="str">
        <f aca="false">IF(I53=1,"Completado",IF(I53=0,"Pendiente","En progreso"))</f>
        <v>Pendiente</v>
      </c>
      <c r="K53" s="13" t="s">
        <v>77</v>
      </c>
    </row>
    <row r="54" customFormat="false" ht="30" hidden="false" customHeight="true" outlineLevel="0" collapsed="false">
      <c r="A54" s="16" t="n">
        <v>44</v>
      </c>
      <c r="B54" s="17" t="s">
        <v>68</v>
      </c>
      <c r="C54" s="18" t="s">
        <v>78</v>
      </c>
      <c r="D54" s="17" t="s">
        <v>24</v>
      </c>
      <c r="E54" s="17" t="s">
        <v>22</v>
      </c>
      <c r="F54" s="17" t="n">
        <v>1</v>
      </c>
      <c r="G54" s="19" t="n">
        <f aca="false">H53+1</f>
        <v>46276</v>
      </c>
      <c r="H54" s="19" t="n">
        <f aca="false">G54+F54-1</f>
        <v>46276</v>
      </c>
      <c r="I54" s="15" t="n">
        <v>0</v>
      </c>
      <c r="J54" s="17" t="str">
        <f aca="false">IF(I54=1,"Completado",IF(I54=0,"Pendiente","En progreso"))</f>
        <v>Pendiente</v>
      </c>
      <c r="K54" s="18" t="s">
        <v>79</v>
      </c>
    </row>
    <row r="55" customFormat="false" ht="30" hidden="false" customHeight="true" outlineLevel="0" collapsed="false">
      <c r="A55" s="11" t="n">
        <v>45</v>
      </c>
      <c r="B55" s="12" t="s">
        <v>68</v>
      </c>
      <c r="C55" s="13" t="s">
        <v>37</v>
      </c>
      <c r="D55" s="12" t="s">
        <v>17</v>
      </c>
      <c r="E55" s="12" t="s">
        <v>22</v>
      </c>
      <c r="F55" s="12" t="n">
        <v>1</v>
      </c>
      <c r="G55" s="14" t="n">
        <f aca="false">H54+1</f>
        <v>46277</v>
      </c>
      <c r="H55" s="14" t="n">
        <f aca="false">G55+F55-1</f>
        <v>46277</v>
      </c>
      <c r="I55" s="15" t="n">
        <v>0</v>
      </c>
      <c r="J55" s="12" t="str">
        <f aca="false">IF(I55=1,"Completado",IF(I55=0,"Pendiente","En progreso"))</f>
        <v>Pendiente</v>
      </c>
      <c r="K55" s="13"/>
    </row>
    <row r="56" customFormat="false" ht="19.5" hidden="false" customHeight="true" outlineLevel="0" collapsed="false">
      <c r="A56" s="8" t="s">
        <v>80</v>
      </c>
      <c r="B56" s="8"/>
      <c r="C56" s="8"/>
      <c r="D56" s="8"/>
      <c r="E56" s="8"/>
      <c r="F56" s="8"/>
      <c r="G56" s="8"/>
      <c r="H56" s="8"/>
      <c r="I56" s="9" t="n">
        <f aca="false">AVERAGE(I57:I64)</f>
        <v>0</v>
      </c>
      <c r="J56" s="9"/>
      <c r="K56" s="10"/>
    </row>
    <row r="57" customFormat="false" ht="30" hidden="false" customHeight="true" outlineLevel="0" collapsed="false">
      <c r="A57" s="11" t="n">
        <v>46</v>
      </c>
      <c r="B57" s="12" t="s">
        <v>80</v>
      </c>
      <c r="C57" s="13" t="s">
        <v>81</v>
      </c>
      <c r="D57" s="12" t="s">
        <v>17</v>
      </c>
      <c r="E57" s="12" t="s">
        <v>30</v>
      </c>
      <c r="F57" s="12" t="n">
        <v>2</v>
      </c>
      <c r="G57" s="14" t="n">
        <f aca="false">H55+1</f>
        <v>46278</v>
      </c>
      <c r="H57" s="14" t="n">
        <f aca="false">G57+F57-1</f>
        <v>46279</v>
      </c>
      <c r="I57" s="15" t="n">
        <v>0</v>
      </c>
      <c r="J57" s="12" t="str">
        <f aca="false">IF(I57=1,"Completado",IF(I57=0,"Pendiente","En progreso"))</f>
        <v>Pendiente</v>
      </c>
      <c r="K57" s="13"/>
    </row>
    <row r="58" customFormat="false" ht="30" hidden="false" customHeight="true" outlineLevel="0" collapsed="false">
      <c r="A58" s="11" t="n">
        <v>47</v>
      </c>
      <c r="B58" s="12" t="s">
        <v>80</v>
      </c>
      <c r="C58" s="13" t="s">
        <v>82</v>
      </c>
      <c r="D58" s="12" t="s">
        <v>17</v>
      </c>
      <c r="E58" s="12" t="s">
        <v>30</v>
      </c>
      <c r="F58" s="12" t="n">
        <v>2</v>
      </c>
      <c r="G58" s="14" t="n">
        <f aca="false">H57+1</f>
        <v>46280</v>
      </c>
      <c r="H58" s="14" t="n">
        <f aca="false">G58+F58-1</f>
        <v>46281</v>
      </c>
      <c r="I58" s="15" t="n">
        <v>0</v>
      </c>
      <c r="J58" s="12" t="str">
        <f aca="false">IF(I58=1,"Completado",IF(I58=0,"Pendiente","En progreso"))</f>
        <v>Pendiente</v>
      </c>
      <c r="K58" s="13"/>
    </row>
    <row r="59" customFormat="false" ht="30" hidden="false" customHeight="true" outlineLevel="0" collapsed="false">
      <c r="A59" s="11" t="n">
        <v>48</v>
      </c>
      <c r="B59" s="12" t="s">
        <v>80</v>
      </c>
      <c r="C59" s="13" t="s">
        <v>83</v>
      </c>
      <c r="D59" s="12" t="s">
        <v>17</v>
      </c>
      <c r="E59" s="12" t="s">
        <v>22</v>
      </c>
      <c r="F59" s="12" t="n">
        <v>1</v>
      </c>
      <c r="G59" s="14" t="n">
        <f aca="false">H58+1</f>
        <v>46282</v>
      </c>
      <c r="H59" s="14" t="n">
        <f aca="false">G59+F59-1</f>
        <v>46282</v>
      </c>
      <c r="I59" s="15" t="n">
        <v>0</v>
      </c>
      <c r="J59" s="12" t="str">
        <f aca="false">IF(I59=1,"Completado",IF(I59=0,"Pendiente","En progreso"))</f>
        <v>Pendiente</v>
      </c>
      <c r="K59" s="13"/>
    </row>
    <row r="60" customFormat="false" ht="30" hidden="false" customHeight="true" outlineLevel="0" collapsed="false">
      <c r="A60" s="20" t="n">
        <v>49</v>
      </c>
      <c r="B60" s="21" t="s">
        <v>80</v>
      </c>
      <c r="C60" s="22" t="s">
        <v>84</v>
      </c>
      <c r="D60" s="21" t="s">
        <v>34</v>
      </c>
      <c r="E60" s="21" t="s">
        <v>35</v>
      </c>
      <c r="F60" s="21" t="n">
        <v>1</v>
      </c>
      <c r="G60" s="23" t="n">
        <f aca="false">H59+1</f>
        <v>46283</v>
      </c>
      <c r="H60" s="23" t="n">
        <f aca="false">G60+F60-1</f>
        <v>46283</v>
      </c>
      <c r="I60" s="15" t="n">
        <v>0</v>
      </c>
      <c r="J60" s="21" t="str">
        <f aca="false">IF(I60=1,"Completado",IF(I60=0,"Pendiente","En progreso"))</f>
        <v>Pendiente</v>
      </c>
      <c r="K60" s="22" t="s">
        <v>85</v>
      </c>
    </row>
    <row r="61" customFormat="false" ht="30" hidden="false" customHeight="true" outlineLevel="0" collapsed="false">
      <c r="A61" s="11" t="n">
        <v>50</v>
      </c>
      <c r="B61" s="12" t="s">
        <v>80</v>
      </c>
      <c r="C61" s="13" t="s">
        <v>86</v>
      </c>
      <c r="D61" s="12" t="s">
        <v>17</v>
      </c>
      <c r="E61" s="12" t="s">
        <v>35</v>
      </c>
      <c r="F61" s="12" t="n">
        <v>1</v>
      </c>
      <c r="G61" s="14" t="n">
        <f aca="false">H60+1</f>
        <v>46284</v>
      </c>
      <c r="H61" s="14" t="n">
        <f aca="false">G61+F61-1</f>
        <v>46284</v>
      </c>
      <c r="I61" s="15" t="n">
        <v>0</v>
      </c>
      <c r="J61" s="12" t="str">
        <f aca="false">IF(I61=1,"Completado",IF(I61=0,"Pendiente","En progreso"))</f>
        <v>Pendiente</v>
      </c>
      <c r="K61" s="13"/>
    </row>
    <row r="62" customFormat="false" ht="30" hidden="false" customHeight="true" outlineLevel="0" collapsed="false">
      <c r="A62" s="20" t="n">
        <v>51</v>
      </c>
      <c r="B62" s="21" t="s">
        <v>80</v>
      </c>
      <c r="C62" s="22" t="s">
        <v>87</v>
      </c>
      <c r="D62" s="21" t="s">
        <v>34</v>
      </c>
      <c r="E62" s="21" t="s">
        <v>22</v>
      </c>
      <c r="F62" s="21" t="n">
        <v>10</v>
      </c>
      <c r="G62" s="23" t="n">
        <f aca="false">H61+1</f>
        <v>46285</v>
      </c>
      <c r="H62" s="23" t="n">
        <f aca="false">G62+F62-1</f>
        <v>46294</v>
      </c>
      <c r="I62" s="15" t="n">
        <v>0</v>
      </c>
      <c r="J62" s="21" t="str">
        <f aca="false">IF(I62=1,"Completado",IF(I62=0,"Pendiente","En progreso"))</f>
        <v>Pendiente</v>
      </c>
      <c r="K62" s="22" t="s">
        <v>88</v>
      </c>
    </row>
    <row r="63" customFormat="false" ht="30" hidden="false" customHeight="true" outlineLevel="0" collapsed="false">
      <c r="A63" s="11" t="n">
        <v>52</v>
      </c>
      <c r="B63" s="12" t="s">
        <v>80</v>
      </c>
      <c r="C63" s="13" t="s">
        <v>89</v>
      </c>
      <c r="D63" s="12" t="s">
        <v>17</v>
      </c>
      <c r="E63" s="12" t="s">
        <v>18</v>
      </c>
      <c r="F63" s="12" t="n">
        <v>1</v>
      </c>
      <c r="G63" s="14" t="n">
        <f aca="false">H62+1</f>
        <v>46295</v>
      </c>
      <c r="H63" s="14" t="n">
        <f aca="false">G63+F63-1</f>
        <v>46295</v>
      </c>
      <c r="I63" s="15" t="n">
        <v>0</v>
      </c>
      <c r="J63" s="12" t="str">
        <f aca="false">IF(I63=1,"Completado",IF(I63=0,"Pendiente","En progreso"))</f>
        <v>Pendiente</v>
      </c>
      <c r="K63" s="13"/>
    </row>
    <row r="64" customFormat="false" ht="30" hidden="false" customHeight="true" outlineLevel="0" collapsed="false">
      <c r="A64" s="11" t="n">
        <v>53</v>
      </c>
      <c r="B64" s="12" t="s">
        <v>80</v>
      </c>
      <c r="C64" s="13" t="s">
        <v>37</v>
      </c>
      <c r="D64" s="12" t="s">
        <v>17</v>
      </c>
      <c r="E64" s="12" t="s">
        <v>22</v>
      </c>
      <c r="F64" s="12" t="n">
        <v>1</v>
      </c>
      <c r="G64" s="14" t="n">
        <f aca="false">H63+1</f>
        <v>46296</v>
      </c>
      <c r="H64" s="14" t="n">
        <f aca="false">G64+F64-1</f>
        <v>46296</v>
      </c>
      <c r="I64" s="15" t="n">
        <v>0</v>
      </c>
      <c r="J64" s="12" t="str">
        <f aca="false">IF(I64=1,"Completado",IF(I64=0,"Pendiente","En progreso"))</f>
        <v>Pendiente</v>
      </c>
      <c r="K64" s="13"/>
    </row>
    <row r="65" customFormat="false" ht="19.5" hidden="false" customHeight="true" outlineLevel="0" collapsed="false">
      <c r="A65" s="8" t="s">
        <v>90</v>
      </c>
      <c r="B65" s="8"/>
      <c r="C65" s="8"/>
      <c r="D65" s="8"/>
      <c r="E65" s="8"/>
      <c r="F65" s="8"/>
      <c r="G65" s="8"/>
      <c r="H65" s="8"/>
      <c r="I65" s="9" t="n">
        <f aca="false">AVERAGE(I66:I68)</f>
        <v>0</v>
      </c>
      <c r="J65" s="9"/>
      <c r="K65" s="10"/>
    </row>
    <row r="66" customFormat="false" ht="30" hidden="false" customHeight="true" outlineLevel="0" collapsed="false">
      <c r="A66" s="11" t="n">
        <v>54</v>
      </c>
      <c r="B66" s="12" t="s">
        <v>90</v>
      </c>
      <c r="C66" s="13" t="s">
        <v>91</v>
      </c>
      <c r="D66" s="12" t="s">
        <v>17</v>
      </c>
      <c r="E66" s="12" t="s">
        <v>18</v>
      </c>
      <c r="F66" s="12" t="n">
        <v>1</v>
      </c>
      <c r="G66" s="14" t="n">
        <f aca="false">H64+1</f>
        <v>46297</v>
      </c>
      <c r="H66" s="14" t="n">
        <f aca="false">G66+F66-1</f>
        <v>46297</v>
      </c>
      <c r="I66" s="15" t="n">
        <v>0</v>
      </c>
      <c r="J66" s="12" t="str">
        <f aca="false">IF(I66=1,"Completado",IF(I66=0,"Pendiente","En progreso"))</f>
        <v>Pendiente</v>
      </c>
      <c r="K66" s="13"/>
    </row>
    <row r="67" customFormat="false" ht="30" hidden="false" customHeight="true" outlineLevel="0" collapsed="false">
      <c r="A67" s="20" t="n">
        <v>55</v>
      </c>
      <c r="B67" s="21" t="s">
        <v>90</v>
      </c>
      <c r="C67" s="22" t="s">
        <v>92</v>
      </c>
      <c r="D67" s="21" t="s">
        <v>34</v>
      </c>
      <c r="E67" s="21" t="s">
        <v>18</v>
      </c>
      <c r="F67" s="21" t="n">
        <v>1</v>
      </c>
      <c r="G67" s="23" t="n">
        <f aca="false">H66+1</f>
        <v>46298</v>
      </c>
      <c r="H67" s="23" t="n">
        <f aca="false">G67+F67-1</f>
        <v>46298</v>
      </c>
      <c r="I67" s="15" t="n">
        <v>0</v>
      </c>
      <c r="J67" s="21" t="str">
        <f aca="false">IF(I67=1,"Completado",IF(I67=0,"Pendiente","En progreso"))</f>
        <v>Pendiente</v>
      </c>
      <c r="K67" s="22" t="s">
        <v>93</v>
      </c>
    </row>
    <row r="68" customFormat="false" ht="30" hidden="false" customHeight="true" outlineLevel="0" collapsed="false">
      <c r="A68" s="20" t="n">
        <v>56</v>
      </c>
      <c r="B68" s="21" t="s">
        <v>90</v>
      </c>
      <c r="C68" s="22" t="s">
        <v>94</v>
      </c>
      <c r="D68" s="21" t="s">
        <v>34</v>
      </c>
      <c r="E68" s="21" t="s">
        <v>18</v>
      </c>
      <c r="F68" s="21" t="n">
        <v>1</v>
      </c>
      <c r="G68" s="23" t="n">
        <f aca="false">H67+1</f>
        <v>46299</v>
      </c>
      <c r="H68" s="23" t="n">
        <f aca="false">G68+F68-1</f>
        <v>46299</v>
      </c>
      <c r="I68" s="15" t="n">
        <v>0</v>
      </c>
      <c r="J68" s="21" t="str">
        <f aca="false">IF(I68=1,"Completado",IF(I68=0,"Pendiente","En progreso"))</f>
        <v>Pendiente</v>
      </c>
      <c r="K68" s="22" t="s">
        <v>95</v>
      </c>
    </row>
    <row r="69" customFormat="false" ht="19.5" hidden="false" customHeight="true" outlineLevel="0" collapsed="false">
      <c r="A69" s="8" t="s">
        <v>96</v>
      </c>
      <c r="B69" s="8"/>
      <c r="C69" s="8"/>
      <c r="D69" s="8"/>
      <c r="E69" s="8"/>
      <c r="F69" s="8"/>
      <c r="G69" s="8"/>
      <c r="H69" s="8"/>
      <c r="I69" s="9" t="n">
        <f aca="false">AVERAGE(I70:I72)</f>
        <v>0</v>
      </c>
      <c r="J69" s="9"/>
      <c r="K69" s="10"/>
    </row>
    <row r="70" customFormat="false" ht="30" hidden="false" customHeight="true" outlineLevel="0" collapsed="false">
      <c r="A70" s="11" t="n">
        <v>57</v>
      </c>
      <c r="B70" s="12" t="s">
        <v>96</v>
      </c>
      <c r="C70" s="13" t="s">
        <v>97</v>
      </c>
      <c r="D70" s="12" t="s">
        <v>17</v>
      </c>
      <c r="E70" s="12" t="s">
        <v>18</v>
      </c>
      <c r="F70" s="12" t="n">
        <v>2</v>
      </c>
      <c r="G70" s="14" t="n">
        <f aca="false">H68+1</f>
        <v>46300</v>
      </c>
      <c r="H70" s="14" t="n">
        <f aca="false">G70+F70-1</f>
        <v>46301</v>
      </c>
      <c r="I70" s="15" t="n">
        <v>0</v>
      </c>
      <c r="J70" s="12" t="str">
        <f aca="false">IF(I70=1,"Completado",IF(I70=0,"Pendiente","En progreso"))</f>
        <v>Pendiente</v>
      </c>
      <c r="K70" s="13" t="s">
        <v>98</v>
      </c>
    </row>
    <row r="71" customFormat="false" ht="30" hidden="false" customHeight="true" outlineLevel="0" collapsed="false">
      <c r="A71" s="20" t="n">
        <v>58</v>
      </c>
      <c r="B71" s="21" t="s">
        <v>96</v>
      </c>
      <c r="C71" s="22" t="s">
        <v>99</v>
      </c>
      <c r="D71" s="21" t="s">
        <v>34</v>
      </c>
      <c r="E71" s="21" t="s">
        <v>18</v>
      </c>
      <c r="F71" s="21" t="n">
        <v>1</v>
      </c>
      <c r="G71" s="23" t="n">
        <f aca="false">H70+1</f>
        <v>46302</v>
      </c>
      <c r="H71" s="23" t="n">
        <f aca="false">G71+F71-1</f>
        <v>46302</v>
      </c>
      <c r="I71" s="15" t="n">
        <v>0</v>
      </c>
      <c r="J71" s="21" t="str">
        <f aca="false">IF(I71=1,"Completado",IF(I71=0,"Pendiente","En progreso"))</f>
        <v>Pendiente</v>
      </c>
      <c r="K71" s="22" t="s">
        <v>100</v>
      </c>
    </row>
    <row r="72" customFormat="false" ht="30" hidden="false" customHeight="true" outlineLevel="0" collapsed="false">
      <c r="A72" s="20" t="n">
        <v>59</v>
      </c>
      <c r="B72" s="21" t="s">
        <v>96</v>
      </c>
      <c r="C72" s="22" t="s">
        <v>101</v>
      </c>
      <c r="D72" s="21" t="s">
        <v>34</v>
      </c>
      <c r="E72" s="21" t="s">
        <v>35</v>
      </c>
      <c r="F72" s="21" t="n">
        <v>1</v>
      </c>
      <c r="G72" s="23" t="n">
        <f aca="false">H71+1</f>
        <v>46303</v>
      </c>
      <c r="H72" s="23" t="n">
        <f aca="false">G72+F72-1</f>
        <v>46303</v>
      </c>
      <c r="I72" s="15" t="n">
        <v>0</v>
      </c>
      <c r="J72" s="21" t="str">
        <f aca="false">IF(I72=1,"Completado",IF(I72=0,"Pendiente","En progreso"))</f>
        <v>Pendiente</v>
      </c>
      <c r="K72" s="22" t="s">
        <v>102</v>
      </c>
    </row>
  </sheetData>
  <mergeCells count="21">
    <mergeCell ref="A1:K1"/>
    <mergeCell ref="A2:D2"/>
    <mergeCell ref="F2:H2"/>
    <mergeCell ref="I2:J2"/>
    <mergeCell ref="A3:K3"/>
    <mergeCell ref="A6:H6"/>
    <mergeCell ref="I6:J6"/>
    <mergeCell ref="A17:H17"/>
    <mergeCell ref="I17:J17"/>
    <mergeCell ref="A27:H27"/>
    <mergeCell ref="I27:J27"/>
    <mergeCell ref="A36:H36"/>
    <mergeCell ref="I36:J36"/>
    <mergeCell ref="A45:H45"/>
    <mergeCell ref="I45:J45"/>
    <mergeCell ref="A56:H56"/>
    <mergeCell ref="I56:J56"/>
    <mergeCell ref="A65:H65"/>
    <mergeCell ref="I65:J65"/>
    <mergeCell ref="A69:H69"/>
    <mergeCell ref="I69:J69"/>
  </mergeCells>
  <conditionalFormatting sqref="J6:J72">
    <cfRule type="expression" priority="2" aboveAverage="0" equalAverage="0" bottom="0" percent="0" rank="0" text="" dxfId="0">
      <formula>J6="Completado"</formula>
    </cfRule>
    <cfRule type="expression" priority="3" aboveAverage="0" equalAverage="0" bottom="0" percent="0" rank="0" text="" dxfId="1">
      <formula>J6="En progreso"</formula>
    </cfRule>
    <cfRule type="expression" priority="4" aboveAverage="0" equalAverage="0" bottom="0" percent="0" rank="0" text="" dxfId="2">
      <formula>J6="Pendiente"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2026-07-19T00:29:39Z</dcterms:created>
  <dc:creator>openpyxl</dc:creator>
  <dc:description/>
  <dc:language>en-US</dc:language>
  <cp:lastModifiedBy/>
  <dcterms:modified xsi:type="dcterms:W3CDTF">2026-07-19T00:29:49Z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