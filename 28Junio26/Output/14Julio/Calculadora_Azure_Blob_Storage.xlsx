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dora" sheetId="1" state="visible" r:id="rId3"/>
    <sheet name="Escenarios" sheetId="2" state="visible" r:id="rId4"/>
    <sheet name="Precios Ba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<sst xmlns="http://schemas.openxmlformats.org/spreadsheetml/2006/main" count="84" uniqueCount="38">
  <si>
    <t xml:space="preserve">Calculadora de Consumo Azure Blob Storage</t>
  </si>
  <si>
    <t xml:space="preserve">Cuántos TB corresponden a un presupuesto mensual dado, según tier y redundancia</t>
  </si>
  <si>
    <t xml:space="preserve">1. Datos de entrada (editar celdas amarillas)</t>
  </si>
  <si>
    <t xml:space="preserve">Presupuesto mensual objetivo (USD)</t>
  </si>
  <si>
    <t xml:space="preserve">Tier de almacenamiento</t>
  </si>
  <si>
    <t xml:space="preserve">Hot</t>
  </si>
  <si>
    <t xml:space="preserve">Redundancia</t>
  </si>
  <si>
    <t xml:space="preserve">LRS</t>
  </si>
  <si>
    <t xml:space="preserve">% del gasto que NO es storage puro
(transacciones, egress, otros)</t>
  </si>
  <si>
    <t xml:space="preserve">2. Situación actual del cliente (para comparar)</t>
  </si>
  <si>
    <t xml:space="preserve">Gasto total actual (USD/mes) — base + excedente</t>
  </si>
  <si>
    <t xml:space="preserve">TB actuales estimados (según tu cálculo)</t>
  </si>
  <si>
    <t xml:space="preserve">3. Resultados</t>
  </si>
  <si>
    <t xml:space="preserve">Precio efectivo (USD / GB / mes)</t>
  </si>
  <si>
    <t xml:space="preserve">Precio efectivo (USD / TB / mes)</t>
  </si>
  <si>
    <t xml:space="preserve">Presupuesto disponible solo para storage (USD)</t>
  </si>
  <si>
    <t xml:space="preserve">TB correspondientes al presupuesto</t>
  </si>
  <si>
    <t xml:space="preserve">4. Comparación con el consumo actual</t>
  </si>
  <si>
    <t xml:space="preserve">Costo implícito actual (USD / TB)</t>
  </si>
  <si>
    <t xml:space="preserve">Diferencia vs. precio efectivo del tier elegido</t>
  </si>
  <si>
    <t xml:space="preserve">Interpretación</t>
  </si>
  <si>
    <t xml:space="preserve">Nota: este cálculo es solo de capacidad almacenada (storage). No incluye transacciones (PUT/GET/LIST), egress, ni el mínimo facturable de 128 KiB por objeto en Cool/Cold/Archive. Para un número exacto, cruza esto con el desglose real de Azure Cost Management (Meter Category = Storage).</t>
  </si>
  <si>
    <t xml:space="preserve">Escenarios: TB por presupuesto, todos los tiers y redundancias</t>
  </si>
  <si>
    <t xml:space="preserve">El presupuesto y el % no-storage se jalan automáticamente de la hoja Calculadora</t>
  </si>
  <si>
    <t xml:space="preserve">Tier</t>
  </si>
  <si>
    <t xml:space="preserve">Precio USD/GB</t>
  </si>
  <si>
    <t xml:space="preserve">Precio USD/TB</t>
  </si>
  <si>
    <t xml:space="preserve">TB por presupuesto</t>
  </si>
  <si>
    <t xml:space="preserve">ZRS</t>
  </si>
  <si>
    <t xml:space="preserve">GRS</t>
  </si>
  <si>
    <t xml:space="preserve">RA-GRS</t>
  </si>
  <si>
    <t xml:space="preserve">Cool</t>
  </si>
  <si>
    <t xml:space="preserve">Cold</t>
  </si>
  <si>
    <t xml:space="preserve">Archive</t>
  </si>
  <si>
    <t xml:space="preserve">Tabla base de precios — Azure Blob Storage (East US, 2026)</t>
  </si>
  <si>
    <t xml:space="preserve">Multiplicador vs LRS</t>
  </si>
  <si>
    <t xml:space="preserve">Clave (uso interno)</t>
  </si>
  <si>
    <t xml:space="preserve">Notas y supuestos:
• Precios de referencia región East US, tier estándar de propósito general v2, según tarifario público de Azure 2026.
• 1 TB se calcula como 1,024 GB en todas las fórmulas de este libro.
• Cold y Archive solo publican tarifa oficial en LRS; los valores en GRS son una aproximación (2x LRS) siguiendo el mismo patrón que Hot/Cool — verificar en el portal de Azure o la Retail Prices API antes de usarlos en una propuesta formal.
• No incluye: transacciones (PUT/GET/LIST/Archive-read), egress, mínimo facturable de 128 KiB por objeto en Cool/Cold/Archive, ni descuentos por Reserved Capacity (hasta 38% en compromisos de 1-3 años).
• Fuente: tarifario público Azure Blob Storage 2026 (East US). Re-verificar en portal de Azure antes de decisiones contractuales, ya que Microsoft actualiza precios periódicamente.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</si>
</sst>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#,##0.0"/>
    <numFmt numFmtId="168" formatCode="\$#,##0.0000"/>
    <numFmt numFmtId="169" formatCode="0.0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i val="true"/>
      <sz val="9"/>
      <color rgb="FFA6A6A6"/>
      <name val="Arial"/>
      <family val="0"/>
      <charset val="1"/>
    </font>
    <font>
      <sz val="9"/>
      <color rgb="FFA6A6A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0"/>
    <col collapsed="false" customWidth="true" hidden="false" outlineLevel="0" max="5" min="5" style="0" width="4"/>
    <col collapsed="false" customWidth="true" hidden="false" outlineLevel="0" max="6" min="6" style="0" width="22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26.85" hidden="false" customHeight="false" outlineLevel="0" collapsed="false">
      <c r="A5" s="4" t="s">
        <v>3</v>
      </c>
      <c r="B5" s="5" t="n">
        <v>1000</v>
      </c>
    </row>
    <row r="6" customFormat="false" ht="15" hidden="false" customHeight="false" outlineLevel="0" collapsed="false">
      <c r="A6" s="4" t="s">
        <v>4</v>
      </c>
      <c r="B6" s="6" t="s">
        <v>5</v>
      </c>
    </row>
    <row r="7" customFormat="false" ht="15" hidden="false" customHeight="false" outlineLevel="0" collapsed="false">
      <c r="A7" s="4" t="s">
        <v>6</v>
      </c>
      <c r="B7" s="6" t="s">
        <v>7</v>
      </c>
    </row>
    <row r="8" customFormat="false" ht="39.55" hidden="false" customHeight="false" outlineLevel="0" collapsed="false">
      <c r="A8" s="4" t="s">
        <v>8</v>
      </c>
      <c r="B8" s="7" t="n">
        <v>0</v>
      </c>
    </row>
    <row r="10" customFormat="false" ht="15" hidden="false" customHeight="false" outlineLevel="0" collapsed="false">
      <c r="A10" s="3" t="s">
        <v>9</v>
      </c>
      <c r="B10" s="3"/>
      <c r="C10" s="3"/>
      <c r="D10" s="3"/>
    </row>
    <row r="11" customFormat="false" ht="15" hidden="false" customHeight="false" outlineLevel="0" collapsed="false">
      <c r="A11" s="0" t="s">
        <v>10</v>
      </c>
      <c r="B11" s="5" t="n">
        <v>1000</v>
      </c>
    </row>
    <row r="12" customFormat="false" ht="15" hidden="false" customHeight="false" outlineLevel="0" collapsed="false">
      <c r="A12" s="0" t="s">
        <v>11</v>
      </c>
      <c r="B12" s="8" t="n">
        <v>37.5</v>
      </c>
    </row>
    <row r="14" customFormat="false" ht="15" hidden="false" customHeight="false" outlineLevel="0" collapsed="false">
      <c r="A14" s="3" t="s">
        <v>12</v>
      </c>
      <c r="B14" s="3"/>
      <c r="C14" s="3"/>
      <c r="D14" s="3"/>
    </row>
    <row r="15" customFormat="false" ht="15" hidden="false" customHeight="false" outlineLevel="0" collapsed="false">
      <c r="A15" s="0" t="s">
        <v>13</v>
      </c>
      <c r="B15" s="9" t="n">
        <f aca="false">INDEX('Precios Base'!$C$4:$C$15,MATCH(B6&amp;"-"&amp;B7,'Precios Base'!$E$4:$E$15,0))</f>
        <v>0.018</v>
      </c>
    </row>
    <row r="16" customFormat="false" ht="15" hidden="false" customHeight="false" outlineLevel="0" collapsed="false">
      <c r="A16" s="0" t="s">
        <v>14</v>
      </c>
      <c r="B16" s="10" t="n">
        <f aca="false">B15*1024</f>
        <v>18.432</v>
      </c>
    </row>
    <row r="17" customFormat="false" ht="15" hidden="false" customHeight="false" outlineLevel="0" collapsed="false">
      <c r="A17" s="0" t="s">
        <v>15</v>
      </c>
      <c r="B17" s="10" t="n">
        <f aca="false">B5*(1-B8)</f>
        <v>1000</v>
      </c>
    </row>
    <row r="18" customFormat="false" ht="15" hidden="false" customHeight="false" outlineLevel="0" collapsed="false">
      <c r="A18" s="11" t="s">
        <v>16</v>
      </c>
      <c r="B18" s="12" t="n">
        <f aca="false">B17/B16</f>
        <v>54.2534722222222</v>
      </c>
    </row>
    <row r="20" customFormat="false" ht="15" hidden="false" customHeight="false" outlineLevel="0" collapsed="false">
      <c r="A20" s="3" t="s">
        <v>17</v>
      </c>
      <c r="B20" s="3"/>
      <c r="C20" s="3"/>
      <c r="D20" s="3"/>
    </row>
    <row r="21" customFormat="false" ht="15" hidden="false" customHeight="false" outlineLevel="0" collapsed="false">
      <c r="A21" s="0" t="s">
        <v>18</v>
      </c>
      <c r="B21" s="10" t="n">
        <f aca="false">B11/B12</f>
        <v>26.6666666666667</v>
      </c>
    </row>
    <row r="22" customFormat="false" ht="15" hidden="false" customHeight="false" outlineLevel="0" collapsed="false">
      <c r="A22" s="0" t="s">
        <v>19</v>
      </c>
      <c r="B22" s="10" t="n">
        <f aca="false">B21-B16</f>
        <v>8.23466666666667</v>
      </c>
    </row>
    <row r="23" customFormat="false" ht="45" hidden="false" customHeight="true" outlineLevel="0" collapsed="false">
      <c r="A23" s="0" t="s">
        <v>20</v>
      </c>
      <c r="B23" s="13" t="str">
        <f aca="false">IF(ABS(B22)&lt;2,"Coincide con el tier/redundancia elegido",IF(B22&gt;0,"El costo actual por TB es MAYOR: probablemente hay más redundancia, transacciones/egress, u objetos pequeños facturando de más","El costo actual por TB es MENOR: revisa si el tier/redundancia elegido aquí es el correcto"))</f>
        <v>El costo actual por TB es MAYOR: probablemente hay más redundancia, transacciones/egress, u objetos pequeños facturando de más</v>
      </c>
      <c r="C23" s="13"/>
      <c r="D23" s="13"/>
    </row>
    <row r="25" customFormat="false" ht="48" hidden="false" customHeight="true" outlineLevel="0" collapsed="false">
      <c r="A25" s="14" t="s">
        <v>21</v>
      </c>
      <c r="B25" s="14"/>
      <c r="C25" s="14"/>
      <c r="D25" s="14"/>
    </row>
  </sheetData>
  <mergeCells count="8">
    <mergeCell ref="A1:D1"/>
    <mergeCell ref="A2:D2"/>
    <mergeCell ref="A4:D4"/>
    <mergeCell ref="A10:D10"/>
    <mergeCell ref="A14:D14"/>
    <mergeCell ref="A20:D20"/>
    <mergeCell ref="B23:D23"/>
    <mergeCell ref="A25:D25"/>
  </mergeCells>
  <dataValidations count="2">
    <dataValidation allowBlank="false" error="Elige un tier válido" errorStyle="stop" operator="between" prompt="Selecciona: Hot, Cool, Cold o Archive" showDropDown="false" showErrorMessage="false" showInputMessage="false" sqref="B6" type="list">
      <formula1>"Hot,Cool,Cold,Archive"</formula1>
      <formula2>0</formula2>
    </dataValidation>
    <dataValidation allowBlank="false" error="Elige una redundancia válida" errorStyle="stop" operator="between" prompt="Selecciona: LRS, ZRS, GRS o RA-GRS" showDropDown="false" showErrorMessage="false" showInputMessage="false" sqref="B7" type="list">
      <formula1>"LRS,ZRS,GRS,RA-GRS"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5" min="3" style="0" width="22"/>
  </cols>
  <sheetData>
    <row r="1" customFormat="false" ht="17.35" hidden="false" customHeight="false" outlineLevel="0" collapsed="false">
      <c r="A1" s="1" t="s">
        <v>22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23</v>
      </c>
      <c r="B2" s="2"/>
      <c r="C2" s="2"/>
      <c r="D2" s="2"/>
      <c r="E2" s="2"/>
    </row>
    <row r="4" customFormat="false" ht="15" hidden="false" customHeight="false" outlineLevel="0" collapsed="false">
      <c r="A4" s="15" t="s">
        <v>24</v>
      </c>
      <c r="B4" s="15" t="s">
        <v>6</v>
      </c>
      <c r="C4" s="15" t="s">
        <v>25</v>
      </c>
      <c r="D4" s="15" t="s">
        <v>26</v>
      </c>
      <c r="E4" s="15" t="s">
        <v>27</v>
      </c>
    </row>
    <row r="5" customFormat="false" ht="15" hidden="false" customHeight="false" outlineLevel="0" collapsed="false">
      <c r="A5" s="16" t="s">
        <v>5</v>
      </c>
      <c r="B5" s="16" t="s">
        <v>7</v>
      </c>
      <c r="C5" s="9" t="n">
        <f aca="false">INDEX('Precios Base'!$C$4:$C$15,MATCH(A5&amp;"-"&amp;B5,'Precios Base'!$E$4:$E$15,0))</f>
        <v>0.018</v>
      </c>
      <c r="D5" s="10" t="n">
        <f aca="false">C5*1024</f>
        <v>18.432</v>
      </c>
      <c r="E5" s="17" t="n">
        <f aca="false">(Calculadora!$B$5*(1-Calculadora!$B$8))/D5</f>
        <v>54.2534722222222</v>
      </c>
    </row>
    <row r="6" customFormat="false" ht="15" hidden="false" customHeight="false" outlineLevel="0" collapsed="false">
      <c r="A6" s="16" t="s">
        <v>5</v>
      </c>
      <c r="B6" s="16" t="s">
        <v>28</v>
      </c>
      <c r="C6" s="9" t="n">
        <f aca="false">INDEX('Precios Base'!$C$4:$C$15,MATCH(A6&amp;"-"&amp;B6,'Precios Base'!$E$4:$E$15,0))</f>
        <v>0.0225</v>
      </c>
      <c r="D6" s="10" t="n">
        <f aca="false">C6*1024</f>
        <v>23.04</v>
      </c>
      <c r="E6" s="17" t="n">
        <f aca="false">(Calculadora!$B$5*(1-Calculadora!$B$8))/D6</f>
        <v>43.4027777777778</v>
      </c>
    </row>
    <row r="7" customFormat="false" ht="15" hidden="false" customHeight="false" outlineLevel="0" collapsed="false">
      <c r="A7" s="16" t="s">
        <v>5</v>
      </c>
      <c r="B7" s="16" t="s">
        <v>29</v>
      </c>
      <c r="C7" s="9" t="n">
        <f aca="false">INDEX('Precios Base'!$C$4:$C$15,MATCH(A7&amp;"-"&amp;B7,'Precios Base'!$E$4:$E$15,0))</f>
        <v>0.036</v>
      </c>
      <c r="D7" s="10" t="n">
        <f aca="false">C7*1024</f>
        <v>36.864</v>
      </c>
      <c r="E7" s="17" t="n">
        <f aca="false">(Calculadora!$B$5*(1-Calculadora!$B$8))/D7</f>
        <v>27.1267361111111</v>
      </c>
    </row>
    <row r="8" customFormat="false" ht="15" hidden="false" customHeight="false" outlineLevel="0" collapsed="false">
      <c r="A8" s="16" t="s">
        <v>5</v>
      </c>
      <c r="B8" s="16" t="s">
        <v>30</v>
      </c>
      <c r="C8" s="9" t="n">
        <f aca="false">INDEX('Precios Base'!$C$4:$C$15,MATCH(A8&amp;"-"&amp;B8,'Precios Base'!$E$4:$E$15,0))</f>
        <v>0.045</v>
      </c>
      <c r="D8" s="10" t="n">
        <f aca="false">C8*1024</f>
        <v>46.08</v>
      </c>
      <c r="E8" s="17" t="n">
        <f aca="false">(Calculadora!$B$5*(1-Calculadora!$B$8))/D8</f>
        <v>21.7013888888889</v>
      </c>
    </row>
    <row r="9" customFormat="false" ht="15" hidden="false" customHeight="false" outlineLevel="0" collapsed="false">
      <c r="A9" s="16" t="s">
        <v>31</v>
      </c>
      <c r="B9" s="16" t="s">
        <v>7</v>
      </c>
      <c r="C9" s="9" t="n">
        <f aca="false">INDEX('Precios Base'!$C$4:$C$15,MATCH(A9&amp;"-"&amp;B9,'Precios Base'!$E$4:$E$15,0))</f>
        <v>0.01</v>
      </c>
      <c r="D9" s="10" t="n">
        <f aca="false">C9*1024</f>
        <v>10.24</v>
      </c>
      <c r="E9" s="17" t="n">
        <f aca="false">(Calculadora!$B$5*(1-Calculadora!$B$8))/D9</f>
        <v>97.65625</v>
      </c>
    </row>
    <row r="10" customFormat="false" ht="15" hidden="false" customHeight="false" outlineLevel="0" collapsed="false">
      <c r="A10" s="16" t="s">
        <v>31</v>
      </c>
      <c r="B10" s="16" t="s">
        <v>28</v>
      </c>
      <c r="C10" s="9" t="n">
        <f aca="false">INDEX('Precios Base'!$C$4:$C$15,MATCH(A10&amp;"-"&amp;B10,'Precios Base'!$E$4:$E$15,0))</f>
        <v>0.0125</v>
      </c>
      <c r="D10" s="10" t="n">
        <f aca="false">C10*1024</f>
        <v>12.8</v>
      </c>
      <c r="E10" s="17" t="n">
        <f aca="false">(Calculadora!$B$5*(1-Calculadora!$B$8))/D10</f>
        <v>78.125</v>
      </c>
    </row>
    <row r="11" customFormat="false" ht="15" hidden="false" customHeight="false" outlineLevel="0" collapsed="false">
      <c r="A11" s="16" t="s">
        <v>31</v>
      </c>
      <c r="B11" s="16" t="s">
        <v>29</v>
      </c>
      <c r="C11" s="9" t="n">
        <f aca="false">INDEX('Precios Base'!$C$4:$C$15,MATCH(A11&amp;"-"&amp;B11,'Precios Base'!$E$4:$E$15,0))</f>
        <v>0.02</v>
      </c>
      <c r="D11" s="10" t="n">
        <f aca="false">C11*1024</f>
        <v>20.48</v>
      </c>
      <c r="E11" s="17" t="n">
        <f aca="false">(Calculadora!$B$5*(1-Calculadora!$B$8))/D11</f>
        <v>48.828125</v>
      </c>
    </row>
    <row r="12" customFormat="false" ht="15" hidden="false" customHeight="false" outlineLevel="0" collapsed="false">
      <c r="A12" s="16" t="s">
        <v>31</v>
      </c>
      <c r="B12" s="16" t="s">
        <v>30</v>
      </c>
      <c r="C12" s="9" t="n">
        <f aca="false">INDEX('Precios Base'!$C$4:$C$15,MATCH(A12&amp;"-"&amp;B12,'Precios Base'!$E$4:$E$15,0))</f>
        <v>0.025</v>
      </c>
      <c r="D12" s="10" t="n">
        <f aca="false">C12*1024</f>
        <v>25.6</v>
      </c>
      <c r="E12" s="17" t="n">
        <f aca="false">(Calculadora!$B$5*(1-Calculadora!$B$8))/D12</f>
        <v>39.0625</v>
      </c>
    </row>
    <row r="13" customFormat="false" ht="15" hidden="false" customHeight="false" outlineLevel="0" collapsed="false">
      <c r="A13" s="16" t="s">
        <v>32</v>
      </c>
      <c r="B13" s="16" t="s">
        <v>7</v>
      </c>
      <c r="C13" s="9" t="n">
        <f aca="false">INDEX('Precios Base'!$C$4:$C$15,MATCH(A13&amp;"-"&amp;B13,'Precios Base'!$E$4:$E$15,0))</f>
        <v>0.0045</v>
      </c>
      <c r="D13" s="10" t="n">
        <f aca="false">C13*1024</f>
        <v>4.608</v>
      </c>
      <c r="E13" s="17" t="n">
        <f aca="false">(Calculadora!$B$5*(1-Calculadora!$B$8))/D13</f>
        <v>217.013888888889</v>
      </c>
    </row>
    <row r="14" customFormat="false" ht="15" hidden="false" customHeight="false" outlineLevel="0" collapsed="false">
      <c r="A14" s="16" t="s">
        <v>32</v>
      </c>
      <c r="B14" s="16" t="s">
        <v>29</v>
      </c>
      <c r="C14" s="9" t="n">
        <f aca="false">INDEX('Precios Base'!$C$4:$C$15,MATCH(A14&amp;"-"&amp;B14,'Precios Base'!$E$4:$E$15,0))</f>
        <v>0.009</v>
      </c>
      <c r="D14" s="10" t="n">
        <f aca="false">C14*1024</f>
        <v>9.216</v>
      </c>
      <c r="E14" s="17" t="n">
        <f aca="false">(Calculadora!$B$5*(1-Calculadora!$B$8))/D14</f>
        <v>108.506944444444</v>
      </c>
    </row>
    <row r="15" customFormat="false" ht="15" hidden="false" customHeight="false" outlineLevel="0" collapsed="false">
      <c r="A15" s="16" t="s">
        <v>33</v>
      </c>
      <c r="B15" s="16" t="s">
        <v>7</v>
      </c>
      <c r="C15" s="9" t="n">
        <f aca="false">INDEX('Precios Base'!$C$4:$C$15,MATCH(A15&amp;"-"&amp;B15,'Precios Base'!$E$4:$E$15,0))</f>
        <v>0.00099</v>
      </c>
      <c r="D15" s="10" t="n">
        <f aca="false">C15*1024</f>
        <v>1.01376</v>
      </c>
      <c r="E15" s="17" t="n">
        <f aca="false">(Calculadora!$B$5*(1-Calculadora!$B$8))/D15</f>
        <v>986.426767676768</v>
      </c>
    </row>
    <row r="16" customFormat="false" ht="15" hidden="false" customHeight="false" outlineLevel="0" collapsed="false">
      <c r="A16" s="16" t="s">
        <v>33</v>
      </c>
      <c r="B16" s="16" t="s">
        <v>29</v>
      </c>
      <c r="C16" s="9" t="n">
        <f aca="false">INDEX('Precios Base'!$C$4:$C$15,MATCH(A16&amp;"-"&amp;B16,'Precios Base'!$E$4:$E$15,0))</f>
        <v>0.00198</v>
      </c>
      <c r="D16" s="10" t="n">
        <f aca="false">C16*1024</f>
        <v>2.02752</v>
      </c>
      <c r="E16" s="17" t="n">
        <f aca="false">(Calculadora!$B$5*(1-Calculadora!$B$8))/D16</f>
        <v>493.213383838384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4"/>
  </cols>
  <sheetData>
    <row r="1" customFormat="false" ht="17.35" hidden="false" customHeight="false" outlineLevel="0" collapsed="false">
      <c r="A1" s="1" t="s">
        <v>34</v>
      </c>
      <c r="B1" s="1"/>
      <c r="C1" s="1"/>
      <c r="D1" s="1"/>
    </row>
    <row r="3" customFormat="false" ht="26.85" hidden="false" customHeight="false" outlineLevel="0" collapsed="false">
      <c r="A3" s="15" t="s">
        <v>24</v>
      </c>
      <c r="B3" s="15" t="s">
        <v>6</v>
      </c>
      <c r="C3" s="15" t="s">
        <v>25</v>
      </c>
      <c r="D3" s="15" t="s">
        <v>35</v>
      </c>
      <c r="E3" s="18" t="s">
        <v>36</v>
      </c>
    </row>
    <row r="4" customFormat="false" ht="15" hidden="false" customHeight="false" outlineLevel="0" collapsed="false">
      <c r="A4" s="19" t="s">
        <v>5</v>
      </c>
      <c r="B4" s="19" t="s">
        <v>7</v>
      </c>
      <c r="C4" s="20" t="n">
        <v>0.018</v>
      </c>
      <c r="D4" s="21" t="n">
        <v>1</v>
      </c>
      <c r="E4" s="22" t="str">
        <f aca="false">A4&amp;"-"&amp;B4</f>
        <v>Hot-LRS</v>
      </c>
    </row>
    <row r="5" customFormat="false" ht="15" hidden="false" customHeight="false" outlineLevel="0" collapsed="false">
      <c r="A5" s="19" t="s">
        <v>5</v>
      </c>
      <c r="B5" s="19" t="s">
        <v>28</v>
      </c>
      <c r="C5" s="20" t="n">
        <v>0.0225</v>
      </c>
      <c r="D5" s="21" t="n">
        <v>1.25</v>
      </c>
      <c r="E5" s="22" t="str">
        <f aca="false">A5&amp;"-"&amp;B5</f>
        <v>Hot-ZRS</v>
      </c>
    </row>
    <row r="6" customFormat="false" ht="15" hidden="false" customHeight="false" outlineLevel="0" collapsed="false">
      <c r="A6" s="19" t="s">
        <v>5</v>
      </c>
      <c r="B6" s="19" t="s">
        <v>29</v>
      </c>
      <c r="C6" s="20" t="n">
        <v>0.036</v>
      </c>
      <c r="D6" s="21" t="n">
        <v>2</v>
      </c>
      <c r="E6" s="22" t="str">
        <f aca="false">A6&amp;"-"&amp;B6</f>
        <v>Hot-GRS</v>
      </c>
    </row>
    <row r="7" customFormat="false" ht="15" hidden="false" customHeight="false" outlineLevel="0" collapsed="false">
      <c r="A7" s="19" t="s">
        <v>5</v>
      </c>
      <c r="B7" s="19" t="s">
        <v>30</v>
      </c>
      <c r="C7" s="20" t="n">
        <v>0.045</v>
      </c>
      <c r="D7" s="21" t="n">
        <v>2.5</v>
      </c>
      <c r="E7" s="22" t="str">
        <f aca="false">A7&amp;"-"&amp;B7</f>
        <v>Hot-RA-GRS</v>
      </c>
    </row>
    <row r="8" customFormat="false" ht="15" hidden="false" customHeight="false" outlineLevel="0" collapsed="false">
      <c r="A8" s="19" t="s">
        <v>31</v>
      </c>
      <c r="B8" s="19" t="s">
        <v>7</v>
      </c>
      <c r="C8" s="20" t="n">
        <v>0.01</v>
      </c>
      <c r="D8" s="21" t="n">
        <v>1</v>
      </c>
      <c r="E8" s="22" t="str">
        <f aca="false">A8&amp;"-"&amp;B8</f>
        <v>Cool-LRS</v>
      </c>
    </row>
    <row r="9" customFormat="false" ht="15" hidden="false" customHeight="false" outlineLevel="0" collapsed="false">
      <c r="A9" s="19" t="s">
        <v>31</v>
      </c>
      <c r="B9" s="19" t="s">
        <v>28</v>
      </c>
      <c r="C9" s="20" t="n">
        <v>0.0125</v>
      </c>
      <c r="D9" s="21" t="n">
        <v>1.25</v>
      </c>
      <c r="E9" s="22" t="str">
        <f aca="false">A9&amp;"-"&amp;B9</f>
        <v>Cool-ZRS</v>
      </c>
    </row>
    <row r="10" customFormat="false" ht="15" hidden="false" customHeight="false" outlineLevel="0" collapsed="false">
      <c r="A10" s="19" t="s">
        <v>31</v>
      </c>
      <c r="B10" s="19" t="s">
        <v>29</v>
      </c>
      <c r="C10" s="20" t="n">
        <v>0.02</v>
      </c>
      <c r="D10" s="21" t="n">
        <v>2</v>
      </c>
      <c r="E10" s="22" t="str">
        <f aca="false">A10&amp;"-"&amp;B10</f>
        <v>Cool-GRS</v>
      </c>
    </row>
    <row r="11" customFormat="false" ht="15" hidden="false" customHeight="false" outlineLevel="0" collapsed="false">
      <c r="A11" s="19" t="s">
        <v>31</v>
      </c>
      <c r="B11" s="19" t="s">
        <v>30</v>
      </c>
      <c r="C11" s="20" t="n">
        <v>0.025</v>
      </c>
      <c r="D11" s="21" t="n">
        <v>2.5</v>
      </c>
      <c r="E11" s="22" t="str">
        <f aca="false">A11&amp;"-"&amp;B11</f>
        <v>Cool-RA-GRS</v>
      </c>
    </row>
    <row r="12" customFormat="false" ht="15" hidden="false" customHeight="false" outlineLevel="0" collapsed="false">
      <c r="A12" s="19" t="s">
        <v>32</v>
      </c>
      <c r="B12" s="19" t="s">
        <v>7</v>
      </c>
      <c r="C12" s="20" t="n">
        <v>0.0045</v>
      </c>
      <c r="D12" s="21" t="n">
        <v>1</v>
      </c>
      <c r="E12" s="22" t="str">
        <f aca="false">A12&amp;"-"&amp;B12</f>
        <v>Cold-LRS</v>
      </c>
    </row>
    <row r="13" customFormat="false" ht="15" hidden="false" customHeight="false" outlineLevel="0" collapsed="false">
      <c r="A13" s="19" t="s">
        <v>32</v>
      </c>
      <c r="B13" s="19" t="s">
        <v>29</v>
      </c>
      <c r="C13" s="20" t="n">
        <v>0.009</v>
      </c>
      <c r="D13" s="21" t="n">
        <v>2</v>
      </c>
      <c r="E13" s="22" t="str">
        <f aca="false">A13&amp;"-"&amp;B13</f>
        <v>Cold-GRS</v>
      </c>
    </row>
    <row r="14" customFormat="false" ht="15" hidden="false" customHeight="false" outlineLevel="0" collapsed="false">
      <c r="A14" s="19" t="s">
        <v>33</v>
      </c>
      <c r="B14" s="19" t="s">
        <v>7</v>
      </c>
      <c r="C14" s="20" t="n">
        <v>0.00099</v>
      </c>
      <c r="D14" s="21" t="n">
        <v>1</v>
      </c>
      <c r="E14" s="22" t="str">
        <f aca="false">A14&amp;"-"&amp;B14</f>
        <v>Archive-LRS</v>
      </c>
    </row>
    <row r="15" customFormat="false" ht="15" hidden="false" customHeight="false" outlineLevel="0" collapsed="false">
      <c r="A15" s="19" t="s">
        <v>33</v>
      </c>
      <c r="B15" s="19" t="s">
        <v>29</v>
      </c>
      <c r="C15" s="20" t="n">
        <v>0.00198</v>
      </c>
      <c r="D15" s="21" t="n">
        <v>2</v>
      </c>
      <c r="E15" s="22" t="str">
        <f aca="false">A15&amp;"-"&amp;B15</f>
        <v>Archive-GRS</v>
      </c>
    </row>
    <row r="17" customFormat="false" ht="129.75" hidden="false" customHeight="true" outlineLevel="0" collapsed="false">
      <c r="A17" s="23" t="s">
        <v>37</v>
      </c>
      <c r="B17" s="23"/>
      <c r="C17" s="23"/>
      <c r="D17" s="23"/>
    </row>
  </sheetData>
  <mergeCells count="2">
    <mergeCell ref="A1:D1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2026-07-14T05:55:04Z</dcterms:created>
  <dc:creator>openpyxl</dc:creator>
  <dc:description/>
  <dc:language>en-US</dc:language>
  <cp:lastModifiedBy/>
  <dcterms:modified xsi:type="dcterms:W3CDTF">2026-07-14T05:55:04Z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