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_Consumo" sheetId="2" state="visible" r:id="rId4"/>
    <sheet name="Resumen" sheetId="3" state="visible" r:id="rId5"/>
    <sheet name="Maquinas_Virtuales" sheetId="4" state="visible" r:id="rId6"/>
    <sheet name="Detalle" sheetId="5" state="visible" r:id="rId7"/>
    <sheet name="Conexion_Azure" sheetId="6" state="visible" r:id="rId8"/>
    <sheet name="Script_PowerQuery_M" sheetId="7" state="visible" r:id="rId9"/>
  </sheets>
  <definedNames>
    <definedName function="false" hidden="true" localSheetId="4" name="_xlnm._FilterDatabase" vbProcedure="false">Detalle!$A$2:$O$26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Filas en amarillo = datos de ejemplo. Bórralas y pega tu detalle real de consumo (mismo orden de columnas) o conéctalo vía Power Query (hoja Conexion_Azure).</t>
        </r>
      </text>
    </comment>
  </commentList>
</comments>
</file>

<file path=xl/sharedStrings.xml><?xml version="1.0" encoding="utf-8"?>
<sst xmlns="http://schemas.openxmlformats.org/spreadsheetml/2006/main" count="439" uniqueCount="157">
  <si>
    <t xml:space="preserve">Reporte de Consumo de Azure — Plantilla Profesional</t>
  </si>
  <si>
    <t xml:space="preserve">Basado en la estructura del reporte Reporte_Consumo_RUV (Power BI)</t>
  </si>
  <si>
    <t xml:space="preserve">¿Cómo funciona esta plantilla?</t>
  </si>
  <si>
    <t xml:space="preserve">Esta plantilla toma como fuente la tabla de la hoja 'Datos_Consumo'. Todos los KPIs, tablas</t>
  </si>
  <si>
    <t xml:space="preserve">y gráficos de las hojas 'Resumen' y 'Máquinas Virtuales' se recalculan automáticamente a</t>
  </si>
  <si>
    <t xml:space="preserve">partir de esa tabla, igual que en el modelo de Power BI original (tabla 'Detalle').</t>
  </si>
  <si>
    <t xml:space="preserve">Opción 1 — Cargar datos desde Excel/CSV (manual)</t>
  </si>
  <si>
    <t xml:space="preserve">1. Exporta el detalle de consumo desde Azure Portal &gt; Cost Management + Billing &gt;</t>
  </si>
  <si>
    <t xml:space="preserve">   Cost analysis &gt; Download &gt; 'Usage details (actual cost)' (CSV).</t>
  </si>
  <si>
    <t xml:space="preserve">2. Copia/pega las filas dentro de la tabla 'TablaConsumo' en la hoja 'Datos_Consumo',</t>
  </si>
  <si>
    <t xml:space="preserve">   respetando el orden de columnas (borra antes las filas de ejemplo en amarillo).</t>
  </si>
  <si>
    <t xml:space="preserve">3. Las hojas 'Resumen', 'Máquinas Virtuales' y 'Detalle' se actualizan solas.</t>
  </si>
  <si>
    <t xml:space="preserve">Opción 2 — Conectar directo a la suscripción del Tenant (Power Query)</t>
  </si>
  <si>
    <t xml:space="preserve">Por seguridad, Azure AD ya NO admite enviar usuario y contraseña en texto plano a través</t>
  </si>
  <si>
    <t xml:space="preserve">de conectores (falla además con MFA). Esta plantilla usa el equivalente seguro:</t>
  </si>
  <si>
    <t xml:space="preserve">  A) Inicio de sesión interactivo (recomendado para uso personal):</t>
  </si>
  <si>
    <t xml:space="preserve">     Datos &gt; Obtener datos &gt; Desde Azure &gt; Azure Cost Management. Excel abre una</t>
  </si>
  <si>
    <t xml:space="preserve">     ventana de inicio de sesión de Microsoft (tu usuario y contraseña reales, con MFA</t>
  </si>
  <si>
    <t xml:space="preserve">     si aplica) y no se guarda ninguna credencial en el archivo.</t>
  </si>
  <si>
    <t xml:space="preserve">  B) Service Principal / API (recomendado para actualización automática o programada):</t>
  </si>
  <si>
    <t xml:space="preserve">     Usa la hoja 'Conexion_Azure': registra una aplicación en Azure AD (App registration),</t>
  </si>
  <si>
    <t xml:space="preserve">     concede permiso de lectura 'Cost Management Reader' sobre la suscripción, y coloca</t>
  </si>
  <si>
    <t xml:space="preserve">     el Tenant Id / Client Id / Client Secret en las celdas amarillas de esa hoja.</t>
  </si>
  <si>
    <t xml:space="preserve">     El script Power Query (M) incluido autentica con esas credenciales (OAuth2 client</t>
  </si>
  <si>
    <t xml:space="preserve">     credentials) y descarga el detalle de consumo directo de la API de Azure, sin exponer</t>
  </si>
  <si>
    <t xml:space="preserve">     nunca tu usuario y contraseña personales.</t>
  </si>
  <si>
    <t xml:space="preserve">Estructura de la plantilla</t>
  </si>
  <si>
    <t xml:space="preserve">• Datos_Consumo   → tabla fuente (detalle de consumo, igual a la tabla 'Detalle' del .pbix)</t>
  </si>
  <si>
    <t xml:space="preserve">• Resumen         → KPIs + consumo por categoría / región / mes (equivale a la página 'Resumen')</t>
  </si>
  <si>
    <t xml:space="preserve">• Maquinas_Virtuales → detalle y ranking de consumo de VMs (equivale a esa página del .pbix)</t>
  </si>
  <si>
    <t xml:space="preserve">• Detalle         → tabla completa filtrable con autofiltro</t>
  </si>
  <si>
    <t xml:space="preserve">• Conexion_Azure  → parámetros + script Power Query (M) para conexión directa a la API</t>
  </si>
  <si>
    <t xml:space="preserve">Notas de seguridad</t>
  </si>
  <si>
    <t xml:space="preserve">• Nunca compartas este archivo con el Client Secret relleno; usa Azure Key Vault o el</t>
  </si>
  <si>
    <t xml:space="preserve">  Administrador de credenciales de Windows en entornos productivos.</t>
  </si>
  <si>
    <t xml:space="preserve">• El Service Principal debe tener rol de solo lectura (Cost Management Reader / Reader).</t>
  </si>
  <si>
    <t xml:space="preserve">Fuente de datos — pega aquí el detalle de consumo de Azure (reemplaza filas de ejemplo)</t>
  </si>
  <si>
    <t xml:space="preserve">FechaConsumo</t>
  </si>
  <si>
    <t xml:space="preserve">MesAño</t>
  </si>
  <si>
    <t xml:space="preserve">Subscripción</t>
  </si>
  <si>
    <t xml:space="preserve">SubscriptionId</t>
  </si>
  <si>
    <t xml:space="preserve">Categoría</t>
  </si>
  <si>
    <t xml:space="preserve">SubCategoría</t>
  </si>
  <si>
    <t xml:space="preserve">Servicio</t>
  </si>
  <si>
    <t xml:space="preserve">Meter Name</t>
  </si>
  <si>
    <t xml:space="preserve">Instancia</t>
  </si>
  <si>
    <t xml:space="preserve">Instance Id</t>
  </si>
  <si>
    <t xml:space="preserve">Resource Group</t>
  </si>
  <si>
    <t xml:space="preserve">Región</t>
  </si>
  <si>
    <t xml:space="preserve">Unit Of Measure</t>
  </si>
  <si>
    <t xml:space="preserve">Cantidad</t>
  </si>
  <si>
    <t xml:space="preserve">Consumo</t>
  </si>
  <si>
    <t xml:space="preserve">2026-05</t>
  </si>
  <si>
    <t xml:space="preserve">Suscripción Producción</t>
  </si>
  <si>
    <t xml:space="preserve">6f1a2b3c-0001</t>
  </si>
  <si>
    <t xml:space="preserve">Virtual Machines</t>
  </si>
  <si>
    <t xml:space="preserve">Compute</t>
  </si>
  <si>
    <t xml:space="preserve">Azure Virtual Machines</t>
  </si>
  <si>
    <t xml:space="preserve">D4s v5</t>
  </si>
  <si>
    <t xml:space="preserve">VM-RUV-APP01</t>
  </si>
  <si>
    <t xml:space="preserve">i-0001</t>
  </si>
  <si>
    <t xml:space="preserve">rg-produccion</t>
  </si>
  <si>
    <t xml:space="preserve">East US</t>
  </si>
  <si>
    <t xml:space="preserve">Hours</t>
  </si>
  <si>
    <t xml:space="preserve">D2s v5</t>
  </si>
  <si>
    <t xml:space="preserve">VM-RUV-APP02</t>
  </si>
  <si>
    <t xml:space="preserve">i-0002</t>
  </si>
  <si>
    <t xml:space="preserve">B2ms</t>
  </si>
  <si>
    <t xml:space="preserve">VM-RUV-WEB01</t>
  </si>
  <si>
    <t xml:space="preserve">i-0003</t>
  </si>
  <si>
    <t xml:space="preserve">West Europe</t>
  </si>
  <si>
    <t xml:space="preserve">Storage</t>
  </si>
  <si>
    <t xml:space="preserve">Storage Accounts</t>
  </si>
  <si>
    <t xml:space="preserve">Blob Storage (LRS)</t>
  </si>
  <si>
    <t xml:space="preserve">stgruvprod01</t>
  </si>
  <si>
    <t xml:space="preserve">i-0004</t>
  </si>
  <si>
    <t xml:space="preserve">GB</t>
  </si>
  <si>
    <t xml:space="preserve">Databases</t>
  </si>
  <si>
    <t xml:space="preserve">Azure SQL Database</t>
  </si>
  <si>
    <t xml:space="preserve">vCore, S3</t>
  </si>
  <si>
    <t xml:space="preserve">sql-ruv-prod</t>
  </si>
  <si>
    <t xml:space="preserve">i-0005</t>
  </si>
  <si>
    <t xml:space="preserve">Networking</t>
  </si>
  <si>
    <t xml:space="preserve">Load Balancer</t>
  </si>
  <si>
    <t xml:space="preserve">Standard LB</t>
  </si>
  <si>
    <t xml:space="preserve">lb-ruv-prod</t>
  </si>
  <si>
    <t xml:space="preserve">i-0006</t>
  </si>
  <si>
    <t xml:space="preserve">Suscripción Desarrollo</t>
  </si>
  <si>
    <t xml:space="preserve">6f1a2b3c-0002</t>
  </si>
  <si>
    <t xml:space="preserve">B2s</t>
  </si>
  <si>
    <t xml:space="preserve">VM-RUV-DEV01</t>
  </si>
  <si>
    <t xml:space="preserve">i-0007</t>
  </si>
  <si>
    <t xml:space="preserve">rg-desarrollo</t>
  </si>
  <si>
    <t xml:space="preserve">West US 2</t>
  </si>
  <si>
    <t xml:space="preserve">App Service</t>
  </si>
  <si>
    <t xml:space="preserve">Web</t>
  </si>
  <si>
    <t xml:space="preserve">Azure App Service</t>
  </si>
  <si>
    <t xml:space="preserve">P1v3</t>
  </si>
  <si>
    <t xml:space="preserve">app-ruv-dev</t>
  </si>
  <si>
    <t xml:space="preserve">i-0008</t>
  </si>
  <si>
    <t xml:space="preserve">stgruvdev01</t>
  </si>
  <si>
    <t xml:space="preserve">i-0009</t>
  </si>
  <si>
    <t xml:space="preserve">2026-06</t>
  </si>
  <si>
    <t xml:space="preserve">VPN Gateway</t>
  </si>
  <si>
    <t xml:space="preserve">VpnGw1</t>
  </si>
  <si>
    <t xml:space="preserve">vpngw-ruv-prod</t>
  </si>
  <si>
    <t xml:space="preserve">i-0010</t>
  </si>
  <si>
    <t xml:space="preserve">D8s v5</t>
  </si>
  <si>
    <t xml:space="preserve">VM-RUV-DB01</t>
  </si>
  <si>
    <t xml:space="preserve">i-0011</t>
  </si>
  <si>
    <t xml:space="preserve">2026-07</t>
  </si>
  <si>
    <t xml:space="preserve">helper_instancia_total</t>
  </si>
  <si>
    <t xml:space="preserve">Resumen de Consumo — Azure</t>
  </si>
  <si>
    <t xml:space="preserve">Actualizado automáticamente desde 'Datos_Consumo'</t>
  </si>
  <si>
    <t xml:space="preserve">Consumo Total</t>
  </si>
  <si>
    <t xml:space="preserve">Consumo Último Mes</t>
  </si>
  <si>
    <t xml:space="preserve">Promedio Mensual</t>
  </si>
  <si>
    <t xml:space="preserve">Recursos Activos</t>
  </si>
  <si>
    <t xml:space="preserve">Consumo por Categoría</t>
  </si>
  <si>
    <t xml:space="preserve">Consumo por Región</t>
  </si>
  <si>
    <t xml:space="preserve">Tendencia de Consumo Mensual</t>
  </si>
  <si>
    <t xml:space="preserve">Top 10 Recursos por Consumo</t>
  </si>
  <si>
    <t xml:space="preserve">Consumo — Máquinas Virtuales</t>
  </si>
  <si>
    <t xml:space="preserve">Filtrado automáticamente donde Categoría = "Virtual Machines"</t>
  </si>
  <si>
    <t xml:space="preserve">Consumo Total VMs</t>
  </si>
  <si>
    <t xml:space="preserve">Nº de VMs</t>
  </si>
  <si>
    <t xml:space="preserve">Costo Prom. por VM</t>
  </si>
  <si>
    <t xml:space="preserve">Detalle de Máquinas Virtuales</t>
  </si>
  <si>
    <t xml:space="preserve">Detalle completo de consumo (vínculo a Datos_Consumo)</t>
  </si>
  <si>
    <t xml:space="preserve">Conexión directa a la suscripción de Azure</t>
  </si>
  <si>
    <t xml:space="preserve">Método recomendado: Service Principal (App Registration) con permiso de solo lectura</t>
  </si>
  <si>
    <t xml:space="preserve">Parámetros de conexión</t>
  </si>
  <si>
    <t xml:space="preserve">Tenant Id</t>
  </si>
  <si>
    <t xml:space="preserve">Subscription Id</t>
  </si>
  <si>
    <t xml:space="preserve">Client Id (App Registration)</t>
  </si>
  <si>
    <t xml:space="preserve">Client Secret</t>
  </si>
  <si>
    <t xml:space="preserve">Fecha Inicio (YYYY-MM-DD)</t>
  </si>
  <si>
    <t xml:space="preserve">2026-01-01</t>
  </si>
  <si>
    <t xml:space="preserve">Fecha Fin (YYYY-MM-DD)</t>
  </si>
  <si>
    <t xml:space="preserve">2026-07-21</t>
  </si>
  <si>
    <t xml:space="preserve">⚠ No compartas este archivo con el Client Secret relleno. Usa un almacén seguro (Azure Key Vault / Administrador de credenciales) en producción.</t>
  </si>
  <si>
    <t xml:space="preserve">Pasos para conectar Excel a la API de Azure Cost Management</t>
  </si>
  <si>
    <t xml:space="preserve">1. En Azure Portal, ve a Azure Active Directory &gt; Registros de aplicaciones &gt; Nuevo registro.</t>
  </si>
  <si>
    <t xml:space="preserve">2. Copia el 'Id. de aplicación (cliente)' y 'Id. de directorio (inquilino)' en las celdas amarillas.</t>
  </si>
  <si>
    <t xml:space="preserve">3. En 'Certificados y secretos', crea un Client Secret y cópialo en la celda amarilla (guárdalo también en un lugar seguro).</t>
  </si>
  <si>
    <t xml:space="preserve">4. En la suscripción de Azure, ve a Control de acceso (IAM) &gt; Agregar asignación de rol &gt; 'Cost Management Reader',</t>
  </si>
  <si>
    <t xml:space="preserve">   y asigna ese rol a la aplicación registrada en el paso 1.</t>
  </si>
  <si>
    <t xml:space="preserve">5. En Excel: Datos &gt; Obtener datos &gt; Desde otras fuentes &gt; Consulta en blanco.</t>
  </si>
  <si>
    <t xml:space="preserve">6. Abre el Editor avanzado y pega el script M de la columna de la derecha (o de la hoja 'Script_PowerQuery_M').</t>
  </si>
  <si>
    <t xml:space="preserve">7. Al ejecutar la consulta, Power Query pedirá los parámetros; puedes vincularlos a las celdas de esta hoja</t>
  </si>
  <si>
    <t xml:space="preserve">   (Datos &gt; Propiedades de la consulta &gt; Parámetros, o usando parámetros con nombre en Power Query).</t>
  </si>
  <si>
    <t xml:space="preserve">8. Carga el resultado como tabla y sustituye/anexa los datos en 'Datos_Consumo'.</t>
  </si>
  <si>
    <t xml:space="preserve">Alternativa simple (sin registrar una app): Datos &gt; Obtener datos &gt; Desde Azure &gt; Azure Cost Management.</t>
  </si>
  <si>
    <t xml:space="preserve">Excel abrirá una ventana de inicio de sesión de Microsoft (tu cuenta real, con MFA) — no requiere Client Secret.</t>
  </si>
  <si>
    <t xml:space="preserve">Script Power Query (M) — Conexión a Azure Cost Management API</t>
  </si>
  <si>
    <t xml:space="preserve">Copia este script en Datos &gt; Obtener datos &gt; Consulta en blanco &gt; Editor avanzado.</t>
  </si>
  <si>
    <t xml:space="preserve">let
    // ==== Parámetros (ajusta o vincula a la hoja Conexion_Azure) ====
    TenantId       = "TU_TENANT_ID",
    ClientId       = "TU_CLIENT_ID",
    ClientSecret   = "TU_CLIENT_SECRET",
    SubscriptionId = "TU_SUBSCRIPTION_ID",
    FechaInicio    = "2026-01-01",
    FechaFin       = "2026-07-21",
    // ==== 1. Obtener token OAuth2 (client credentials) ====
    TokenUrl = "https://login.microsoftonline.com/" &amp; TenantId &amp; "/oauth2/v2.0/token",
    Body = "grant_type=client_credentials" &amp;
           "&amp;client_id=" &amp; ClientId &amp;
           "&amp;client_secret=" &amp; ClientSecret &amp;
           "&amp;scope=https%3A%2F%2Fmanagement.azure.com%2F.default",
    TokenResponse = Json.Document(
        Web.Contents(TokenUrl,
            [
                Headers = [#"Content-Type"="application/x-www-form-urlencoded"],
                Content = Text.ToBinary(Body)
            ]
        )
    ),
    AccessToken = TokenResponse[access_token],
    // ==== 2. Consultar el detalle de consumo (Usage Details) ====
    ApiUrl = "https://management.azure.com/subscriptions/" &amp; SubscriptionId &amp;
              "/providers/Microsoft.Consumption/usageDetails" &amp;
              "?api-version=2023-05-01" &amp;
              "&amp;$filter=properties/usageStart ge '" &amp; FechaInicio &amp;
              "' and properties/usageEnd le '" &amp; FechaFin &amp; "'",
    RawData = Json.Document(
        Web.Contents(ApiUrl,
            [
                Headers = [Authorization = "Bearer " &amp; AccessToken]
            ]
        )
    ),
    Values = RawData[value],
    ToTable = Table.FromList(Values, Splitter.SplitByNothing(), null, null, ExtraValues.Error),
    Expand1 = Table.ExpandRecordColumn(ToTable, "Column1", {"properties"}, {"properties"}),
    Expand2 = Table.ExpandRecordColumn(Expand1, "properties",
        {
            "date", "subscriptionName", "subscriptionId", "consumedService",
            "meterCategory", "meterSubCategory", "meterName", "resourceName",
            "resourceId", "resourceGroup", "resourceLocation", "unitOfMeasure",
            "quantity", "cost"
        },
        {
            "FechaConsumo", "Subscripción", "SubscriptionId", "Servicio",
            "Categoría", "SubCategoría", "MeterName", "Instancia",
            "InstanceId", "ResourceGroup", "Región", "UnitOfMeasure",
            "Cantidad", "Consumo"
        }
    )
in
    Expand2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</si>
</sst>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\$#,##0.00"/>
    <numFmt numFmtId="168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color rgb="FF595959"/>
      <name val="Arial"/>
      <family val="0"/>
      <charset val="1"/>
    </font>
    <font>
      <b val="true"/>
      <sz val="20"/>
      <color rgb="FF0078D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.5"/>
      <color rgb="FF333333"/>
      <name val="Arial"/>
      <family val="0"/>
      <charset val="1"/>
    </font>
    <font>
      <sz val="9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2CC"/>
      <rgbColor rgb="FFDCE6F1"/>
      <rgbColor rgb="FF660066"/>
      <rgbColor rgb="FFFF8080"/>
      <rgbColor rgb="FF0078D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59595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Consumo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Resumen!C11</c:f>
              <c:strCache>
                <c:ptCount val="1"/>
                <c:pt idx="0">
                  <c:v>Consumo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Resumen!$B$12:$B$16</c:f>
              <c:strCache>
                <c:ptCount val="5"/>
                <c:pt idx="0">
                  <c:v>Virtual Machines</c:v>
                </c:pt>
                <c:pt idx="1">
                  <c:v>Storage</c:v>
                </c:pt>
                <c:pt idx="2">
                  <c:v>Databases</c:v>
                </c:pt>
                <c:pt idx="3">
                  <c:v>Networking</c:v>
                </c:pt>
                <c:pt idx="4">
                  <c:v>App Service</c:v>
                </c:pt>
              </c:strCache>
            </c:strRef>
          </c:cat>
          <c:val>
            <c:numRef>
              <c:f>Resumen!$C$12:$C$16</c:f>
              <c:numCache>
                <c:formatCode>\$#,##0.00</c:formatCode>
                <c:ptCount val="5"/>
                <c:pt idx="0">
                  <c:v>1465.3</c:v>
                </c:pt>
                <c:pt idx="1">
                  <c:v>121.4</c:v>
                </c:pt>
                <c:pt idx="2">
                  <c:v>850.5</c:v>
                </c:pt>
                <c:pt idx="3">
                  <c:v>174.8</c:v>
                </c:pt>
                <c:pt idx="4">
                  <c:v>175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Consumo por Región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Resumen!F11</c:f>
              <c:strCache>
                <c:ptCount val="1"/>
                <c:pt idx="0">
                  <c:v>Consumo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Resumen!$E$12:$E$14</c:f>
              <c:strCache>
                <c:ptCount val="3"/>
                <c:pt idx="0">
                  <c:v>East US</c:v>
                </c:pt>
                <c:pt idx="1">
                  <c:v>West Europe</c:v>
                </c:pt>
                <c:pt idx="2">
                  <c:v>West US 2</c:v>
                </c:pt>
              </c:strCache>
            </c:strRef>
          </c:cat>
          <c:val>
            <c:numRef>
              <c:f>Resumen!$F$12:$F$14</c:f>
              <c:numCache>
                <c:formatCode>\$#,##0.00</c:formatCode>
                <c:ptCount val="3"/>
                <c:pt idx="0">
                  <c:v>2431.8</c:v>
                </c:pt>
                <c:pt idx="1">
                  <c:v>110.5</c:v>
                </c:pt>
                <c:pt idx="2">
                  <c:v>244.7</c:v>
                </c:pt>
              </c:numCache>
            </c:numRef>
          </c:val>
        </c:ser>
        <c:gapWidth val="150"/>
        <c:overlap val="0"/>
        <c:axId val="30051062"/>
        <c:axId val="23222872"/>
      </c:barChart>
      <c:catAx>
        <c:axId val="30051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22872"/>
        <c:crosses val="autoZero"/>
        <c:auto val="1"/>
        <c:lblAlgn val="ctr"/>
        <c:lblOffset val="100"/>
        <c:noMultiLvlLbl val="0"/>
      </c:catAx>
      <c:valAx>
        <c:axId val="232228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51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Tendencia de Consumo Mensual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Resumen!C20</c:f>
              <c:strCache>
                <c:ptCount val="1"/>
                <c:pt idx="0">
                  <c:v>Consumo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Resumen!$B$21:$B$23</c:f>
              <c:strCache>
                <c:ptCount val="3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</c:strCache>
            </c:strRef>
          </c:cat>
          <c:val>
            <c:numRef>
              <c:f>Resumen!$C$21:$C$23</c:f>
              <c:numCache>
                <c:formatCode>\$#,##0.00</c:formatCode>
                <c:ptCount val="3"/>
                <c:pt idx="0">
                  <c:v>807.3</c:v>
                </c:pt>
                <c:pt idx="1">
                  <c:v>1325.8</c:v>
                </c:pt>
                <c:pt idx="2">
                  <c:v>653.9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921914"/>
        <c:axId val="76992633"/>
      </c:lineChart>
      <c:catAx>
        <c:axId val="849219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92633"/>
        <c:crosses val="autoZero"/>
        <c:auto val="1"/>
        <c:lblAlgn val="ctr"/>
        <c:lblOffset val="100"/>
        <c:noMultiLvlLbl val="0"/>
      </c:catAx>
      <c:valAx>
        <c:axId val="76992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219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Recursos por Consumo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Resumen!F20</c:f>
              <c:strCache>
                <c:ptCount val="1"/>
                <c:pt idx="0">
                  <c:v>Consumo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Resumen!$E$21:$E$30</c:f>
              <c:strCache>
                <c:ptCount val="10"/>
                <c:pt idx="0">
                  <c:v>sql-ruv-prod</c:v>
                </c:pt>
                <c:pt idx="1">
                  <c:v>VM-RUV-DB01</c:v>
                </c:pt>
                <c:pt idx="2">
                  <c:v>VM-RUV-APP01</c:v>
                </c:pt>
                <c:pt idx="3">
                  <c:v>VM-RUV-APP02</c:v>
                </c:pt>
                <c:pt idx="4">
                  <c:v>app-ruv-dev</c:v>
                </c:pt>
                <c:pt idx="5">
                  <c:v>vpngw-ruv-prod</c:v>
                </c:pt>
                <c:pt idx="6">
                  <c:v>VM-RUV-WEB01</c:v>
                </c:pt>
                <c:pt idx="7">
                  <c:v>stgruvprod01</c:v>
                </c:pt>
                <c:pt idx="8">
                  <c:v>VM-RUV-DEV01</c:v>
                </c:pt>
                <c:pt idx="9">
                  <c:v>lb-ruv-prod</c:v>
                </c:pt>
              </c:strCache>
            </c:strRef>
          </c:cat>
          <c:val>
            <c:numRef>
              <c:f>Resumen!$F$21:$F$30</c:f>
              <c:numCache>
                <c:formatCode>\$#,##0.00</c:formatCode>
                <c:ptCount val="10"/>
                <c:pt idx="0">
                  <c:v>850.5</c:v>
                </c:pt>
                <c:pt idx="1">
                  <c:v>621.8</c:v>
                </c:pt>
                <c:pt idx="2">
                  <c:v>503</c:v>
                </c:pt>
                <c:pt idx="3">
                  <c:v>185</c:v>
                </c:pt>
                <c:pt idx="4">
                  <c:v>175</c:v>
                </c:pt>
                <c:pt idx="5">
                  <c:v>138.2</c:v>
                </c:pt>
                <c:pt idx="6">
                  <c:v>110.5</c:v>
                </c:pt>
                <c:pt idx="7">
                  <c:v>96.7</c:v>
                </c:pt>
                <c:pt idx="8">
                  <c:v>45</c:v>
                </c:pt>
                <c:pt idx="9">
                  <c:v>36.6</c:v>
                </c:pt>
              </c:numCache>
            </c:numRef>
          </c:val>
        </c:ser>
        <c:gapWidth val="150"/>
        <c:overlap val="0"/>
        <c:axId val="17303884"/>
        <c:axId val="87616265"/>
      </c:barChart>
      <c:catAx>
        <c:axId val="173038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616265"/>
        <c:crosses val="autoZero"/>
        <c:auto val="1"/>
        <c:lblAlgn val="ctr"/>
        <c:lblOffset val="100"/>
        <c:noMultiLvlLbl val="0"/>
      </c:catAx>
      <c:valAx>
        <c:axId val="87616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038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Consumo por Máquina Virtual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Maquinas_Virtuales!D11</c:f>
              <c:strCache>
                <c:ptCount val="1"/>
                <c:pt idx="0">
                  <c:v>Consumo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Maquinas_Virtuales!$B$12:$B$16</c:f>
              <c:strCache>
                <c:ptCount val="5"/>
                <c:pt idx="0">
                  <c:v>VM-RUV-APP01</c:v>
                </c:pt>
                <c:pt idx="1">
                  <c:v>VM-RUV-APP02</c:v>
                </c:pt>
                <c:pt idx="2">
                  <c:v>VM-RUV-WEB01</c:v>
                </c:pt>
                <c:pt idx="3">
                  <c:v>VM-RUV-DEV01</c:v>
                </c:pt>
                <c:pt idx="4">
                  <c:v>VM-RUV-DB01</c:v>
                </c:pt>
              </c:strCache>
            </c:strRef>
          </c:cat>
          <c:val>
            <c:numRef>
              <c:f>Maquinas_Virtuales!$D$12:$D$16</c:f>
              <c:numCache>
                <c:formatCode>\$#,##0.00</c:formatCode>
                <c:ptCount val="5"/>
                <c:pt idx="0">
                  <c:v>503</c:v>
                </c:pt>
                <c:pt idx="1">
                  <c:v>185</c:v>
                </c:pt>
                <c:pt idx="2">
                  <c:v>110.5</c:v>
                </c:pt>
                <c:pt idx="3">
                  <c:v>45</c:v>
                </c:pt>
                <c:pt idx="4">
                  <c:v>621.8</c:v>
                </c:pt>
              </c:numCache>
            </c:numRef>
          </c:val>
        </c:ser>
        <c:gapWidth val="150"/>
        <c:overlap val="0"/>
        <c:axId val="37440835"/>
        <c:axId val="22463745"/>
      </c:barChart>
      <c:catAx>
        <c:axId val="37440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63745"/>
        <c:crosses val="autoZero"/>
        <c:auto val="1"/>
        <c:lblAlgn val="ctr"/>
        <c:lblOffset val="100"/>
        <c:noMultiLvlLbl val="0"/>
      </c:catAx>
      <c:valAx>
        <c:axId val="224637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408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131040</xdr:rowOff>
    </xdr:from>
    <xdr:to>
      <xdr:col>4</xdr:col>
      <xdr:colOff>576360</xdr:colOff>
      <xdr:row>42</xdr:row>
      <xdr:rowOff>153000</xdr:rowOff>
    </xdr:to>
    <xdr:graphicFrame>
      <xdr:nvGraphicFramePr>
        <xdr:cNvPr id="0" name="Chart 1"/>
        <xdr:cNvGraphicFramePr/>
      </xdr:nvGraphicFramePr>
      <xdr:xfrm>
        <a:off x="141120" y="533412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27</xdr:row>
      <xdr:rowOff>131040</xdr:rowOff>
    </xdr:from>
    <xdr:to>
      <xdr:col>11</xdr:col>
      <xdr:colOff>82800</xdr:colOff>
      <xdr:row>42</xdr:row>
      <xdr:rowOff>153000</xdr:rowOff>
    </xdr:to>
    <xdr:graphicFrame>
      <xdr:nvGraphicFramePr>
        <xdr:cNvPr id="1" name="Chart 2"/>
        <xdr:cNvGraphicFramePr/>
      </xdr:nvGraphicFramePr>
      <xdr:xfrm>
        <a:off x="4651920" y="533412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45</xdr:row>
      <xdr:rowOff>131040</xdr:rowOff>
    </xdr:from>
    <xdr:to>
      <xdr:col>4</xdr:col>
      <xdr:colOff>576360</xdr:colOff>
      <xdr:row>60</xdr:row>
      <xdr:rowOff>153000</xdr:rowOff>
    </xdr:to>
    <xdr:graphicFrame>
      <xdr:nvGraphicFramePr>
        <xdr:cNvPr id="2" name="Chart 3"/>
        <xdr:cNvGraphicFramePr/>
      </xdr:nvGraphicFramePr>
      <xdr:xfrm>
        <a:off x="141120" y="876312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45</xdr:row>
      <xdr:rowOff>131040</xdr:rowOff>
    </xdr:from>
    <xdr:to>
      <xdr:col>11</xdr:col>
      <xdr:colOff>82800</xdr:colOff>
      <xdr:row>60</xdr:row>
      <xdr:rowOff>153000</xdr:rowOff>
    </xdr:to>
    <xdr:graphicFrame>
      <xdr:nvGraphicFramePr>
        <xdr:cNvPr id="3" name="Chart 4"/>
        <xdr:cNvGraphicFramePr/>
      </xdr:nvGraphicFramePr>
      <xdr:xfrm>
        <a:off x="4651920" y="876312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18</xdr:row>
      <xdr:rowOff>130680</xdr:rowOff>
    </xdr:from>
    <xdr:to>
      <xdr:col>5</xdr:col>
      <xdr:colOff>1163160</xdr:colOff>
      <xdr:row>33</xdr:row>
      <xdr:rowOff>153000</xdr:rowOff>
    </xdr:to>
    <xdr:graphicFrame>
      <xdr:nvGraphicFramePr>
        <xdr:cNvPr id="4" name="Chart 1"/>
        <xdr:cNvGraphicFramePr/>
      </xdr:nvGraphicFramePr>
      <xdr:xfrm>
        <a:off x="14112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Consumo" displayName="TablaConsumo" ref="A2:O26" headerRowCount="1" totalsRowCount="0" totalsRowShown="0">
  <autoFilter ref="A2:O26"/>
  <tableColumns count="15">
    <tableColumn id="1" name="FechaConsumo"/>
    <tableColumn id="2" name="MesAño"/>
    <tableColumn id="3" name="Subscripción"/>
    <tableColumn id="4" name="SubscriptionId"/>
    <tableColumn id="5" name="Categoría"/>
    <tableColumn id="6" name="SubCategoría"/>
    <tableColumn id="7" name="Servicio"/>
    <tableColumn id="8" name="Meter Name"/>
    <tableColumn id="9" name="Instancia"/>
    <tableColumn id="10" name="Instance Id"/>
    <tableColumn id="11" name="Resource Group"/>
    <tableColumn id="12" name="Región"/>
    <tableColumn id="13" name="Unit Of Measure"/>
    <tableColumn id="14" name="Cantidad"/>
    <tableColumn id="15" name="Consum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3"/>
    </row>
    <row r="22" customFormat="false" ht="15" hidden="false" customHeight="false" outlineLevel="0" collapsed="false">
      <c r="B22" s="5" t="s">
        <v>15</v>
      </c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3" t="s">
        <v>17</v>
      </c>
    </row>
    <row r="25" customFormat="false" ht="15" hidden="false" customHeight="false" outlineLevel="0" collapsed="false">
      <c r="B25" s="3" t="s">
        <v>18</v>
      </c>
    </row>
    <row r="26" customFormat="false" ht="15" hidden="false" customHeight="false" outlineLevel="0" collapsed="false">
      <c r="B26" s="3"/>
    </row>
    <row r="27" customFormat="false" ht="15" hidden="false" customHeight="false" outlineLevel="0" collapsed="false">
      <c r="B27" s="5" t="s">
        <v>19</v>
      </c>
    </row>
    <row r="28" customFormat="false" ht="15" hidden="false" customHeight="false" outlineLevel="0" collapsed="false">
      <c r="B28" s="3" t="s">
        <v>20</v>
      </c>
    </row>
    <row r="29" customFormat="false" ht="15" hidden="false" customHeight="false" outlineLevel="0" collapsed="false">
      <c r="B29" s="3" t="s">
        <v>21</v>
      </c>
    </row>
    <row r="30" customFormat="false" ht="15" hidden="false" customHeight="false" outlineLevel="0" collapsed="false">
      <c r="B30" s="3" t="s">
        <v>22</v>
      </c>
    </row>
    <row r="31" customFormat="false" ht="15" hidden="false" customHeight="false" outlineLevel="0" collapsed="false">
      <c r="B31" s="3" t="s">
        <v>23</v>
      </c>
    </row>
    <row r="32" customFormat="false" ht="15" hidden="false" customHeight="false" outlineLevel="0" collapsed="false">
      <c r="B32" s="3" t="s">
        <v>24</v>
      </c>
    </row>
    <row r="33" customFormat="false" ht="15" hidden="false" customHeight="false" outlineLevel="0" collapsed="false">
      <c r="B33" s="3" t="s">
        <v>25</v>
      </c>
    </row>
    <row r="34" customFormat="false" ht="15" hidden="false" customHeight="false" outlineLevel="0" collapsed="false">
      <c r="B34" s="3"/>
    </row>
    <row r="35" customFormat="false" ht="15" hidden="false" customHeight="false" outlineLevel="0" collapsed="false">
      <c r="B35" s="4" t="s">
        <v>26</v>
      </c>
    </row>
    <row r="36" customFormat="false" ht="15" hidden="false" customHeight="false" outlineLevel="0" collapsed="false">
      <c r="B36" s="3" t="s">
        <v>27</v>
      </c>
    </row>
    <row r="37" customFormat="false" ht="15" hidden="false" customHeight="false" outlineLevel="0" collapsed="false">
      <c r="B37" s="3" t="s">
        <v>28</v>
      </c>
    </row>
    <row r="38" customFormat="false" ht="15" hidden="false" customHeight="false" outlineLevel="0" collapsed="false">
      <c r="B38" s="3" t="s">
        <v>29</v>
      </c>
    </row>
    <row r="39" customFormat="false" ht="15" hidden="false" customHeight="false" outlineLevel="0" collapsed="false">
      <c r="B39" s="3" t="s">
        <v>30</v>
      </c>
    </row>
    <row r="40" customFormat="false" ht="15" hidden="false" customHeight="false" outlineLevel="0" collapsed="false">
      <c r="B40" s="3" t="s">
        <v>31</v>
      </c>
    </row>
    <row r="41" customFormat="false" ht="15" hidden="false" customHeight="false" outlineLevel="0" collapsed="false">
      <c r="B41" s="3"/>
    </row>
    <row r="42" customFormat="false" ht="15" hidden="false" customHeight="false" outlineLevel="0" collapsed="false">
      <c r="B42" s="4" t="s">
        <v>32</v>
      </c>
    </row>
    <row r="43" customFormat="false" ht="15" hidden="false" customHeight="false" outlineLevel="0" collapsed="false">
      <c r="B43" s="3" t="s">
        <v>33</v>
      </c>
    </row>
    <row r="44" customFormat="false" ht="15" hidden="false" customHeight="false" outlineLevel="0" collapsed="false">
      <c r="B44" s="3" t="s">
        <v>34</v>
      </c>
    </row>
    <row r="45" customFormat="false" ht="15" hidden="false" customHeight="false" outlineLevel="0" collapsed="false">
      <c r="B45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9" min="8" style="0" width="18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6" t="s">
        <v>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26.8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7" t="s">
        <v>48</v>
      </c>
      <c r="M2" s="7" t="s">
        <v>49</v>
      </c>
      <c r="N2" s="7" t="s">
        <v>50</v>
      </c>
      <c r="O2" s="7" t="s">
        <v>51</v>
      </c>
    </row>
    <row r="3" customFormat="false" ht="15" hidden="false" customHeight="false" outlineLevel="0" collapsed="false">
      <c r="A3" s="8" t="n">
        <v>46143</v>
      </c>
      <c r="B3" s="9" t="s">
        <v>52</v>
      </c>
      <c r="C3" s="9" t="s">
        <v>53</v>
      </c>
      <c r="D3" s="9" t="s">
        <v>54</v>
      </c>
      <c r="E3" s="9" t="s">
        <v>55</v>
      </c>
      <c r="F3" s="9" t="s">
        <v>56</v>
      </c>
      <c r="G3" s="9" t="s">
        <v>57</v>
      </c>
      <c r="H3" s="9" t="s">
        <v>58</v>
      </c>
      <c r="I3" s="9" t="s">
        <v>59</v>
      </c>
      <c r="J3" s="9" t="s">
        <v>60</v>
      </c>
      <c r="K3" s="9" t="s">
        <v>61</v>
      </c>
      <c r="L3" s="9" t="s">
        <v>62</v>
      </c>
      <c r="M3" s="9" t="s">
        <v>63</v>
      </c>
      <c r="N3" s="10" t="n">
        <v>720</v>
      </c>
      <c r="O3" s="11" t="n">
        <v>182.4</v>
      </c>
    </row>
    <row r="4" customFormat="false" ht="15" hidden="false" customHeight="false" outlineLevel="0" collapsed="false">
      <c r="A4" s="8" t="n">
        <v>46143</v>
      </c>
      <c r="B4" s="9" t="s">
        <v>52</v>
      </c>
      <c r="C4" s="9" t="s">
        <v>53</v>
      </c>
      <c r="D4" s="9" t="s">
        <v>54</v>
      </c>
      <c r="E4" s="9" t="s">
        <v>55</v>
      </c>
      <c r="F4" s="9" t="s">
        <v>56</v>
      </c>
      <c r="G4" s="9" t="s">
        <v>57</v>
      </c>
      <c r="H4" s="9" t="s">
        <v>64</v>
      </c>
      <c r="I4" s="9" t="s">
        <v>65</v>
      </c>
      <c r="J4" s="9" t="s">
        <v>66</v>
      </c>
      <c r="K4" s="9" t="s">
        <v>61</v>
      </c>
      <c r="L4" s="9" t="s">
        <v>62</v>
      </c>
      <c r="M4" s="9" t="s">
        <v>63</v>
      </c>
      <c r="N4" s="10" t="n">
        <v>720</v>
      </c>
      <c r="O4" s="11" t="n">
        <v>91.2</v>
      </c>
    </row>
    <row r="5" customFormat="false" ht="15" hidden="false" customHeight="false" outlineLevel="0" collapsed="false">
      <c r="A5" s="8" t="n">
        <v>46143</v>
      </c>
      <c r="B5" s="9" t="s">
        <v>52</v>
      </c>
      <c r="C5" s="9" t="s">
        <v>53</v>
      </c>
      <c r="D5" s="9" t="s">
        <v>54</v>
      </c>
      <c r="E5" s="9" t="s">
        <v>55</v>
      </c>
      <c r="F5" s="9" t="s">
        <v>56</v>
      </c>
      <c r="G5" s="9" t="s">
        <v>57</v>
      </c>
      <c r="H5" s="9" t="s">
        <v>67</v>
      </c>
      <c r="I5" s="9" t="s">
        <v>68</v>
      </c>
      <c r="J5" s="9" t="s">
        <v>69</v>
      </c>
      <c r="K5" s="9" t="s">
        <v>61</v>
      </c>
      <c r="L5" s="9" t="s">
        <v>70</v>
      </c>
      <c r="M5" s="9" t="s">
        <v>63</v>
      </c>
      <c r="N5" s="10" t="n">
        <v>720</v>
      </c>
      <c r="O5" s="11" t="n">
        <v>54.6</v>
      </c>
    </row>
    <row r="6" customFormat="false" ht="15" hidden="false" customHeight="false" outlineLevel="0" collapsed="false">
      <c r="A6" s="8" t="n">
        <v>46143</v>
      </c>
      <c r="B6" s="9" t="s">
        <v>52</v>
      </c>
      <c r="C6" s="9" t="s">
        <v>53</v>
      </c>
      <c r="D6" s="9" t="s">
        <v>54</v>
      </c>
      <c r="E6" s="9" t="s">
        <v>71</v>
      </c>
      <c r="F6" s="9" t="s">
        <v>71</v>
      </c>
      <c r="G6" s="9" t="s">
        <v>72</v>
      </c>
      <c r="H6" s="9" t="s">
        <v>73</v>
      </c>
      <c r="I6" s="9" t="s">
        <v>74</v>
      </c>
      <c r="J6" s="9" t="s">
        <v>75</v>
      </c>
      <c r="K6" s="9" t="s">
        <v>61</v>
      </c>
      <c r="L6" s="9" t="s">
        <v>62</v>
      </c>
      <c r="M6" s="9" t="s">
        <v>76</v>
      </c>
      <c r="N6" s="10" t="n">
        <v>2048</v>
      </c>
      <c r="O6" s="11" t="n">
        <v>47.1</v>
      </c>
    </row>
    <row r="7" customFormat="false" ht="15" hidden="false" customHeight="false" outlineLevel="0" collapsed="false">
      <c r="A7" s="8" t="n">
        <v>46143</v>
      </c>
      <c r="B7" s="9" t="s">
        <v>52</v>
      </c>
      <c r="C7" s="9" t="s">
        <v>53</v>
      </c>
      <c r="D7" s="9" t="s">
        <v>54</v>
      </c>
      <c r="E7" s="9" t="s">
        <v>77</v>
      </c>
      <c r="F7" s="9" t="s">
        <v>77</v>
      </c>
      <c r="G7" s="9" t="s">
        <v>78</v>
      </c>
      <c r="H7" s="9" t="s">
        <v>79</v>
      </c>
      <c r="I7" s="9" t="s">
        <v>80</v>
      </c>
      <c r="J7" s="9" t="s">
        <v>81</v>
      </c>
      <c r="K7" s="9" t="s">
        <v>61</v>
      </c>
      <c r="L7" s="9" t="s">
        <v>62</v>
      </c>
      <c r="M7" s="9" t="s">
        <v>63</v>
      </c>
      <c r="N7" s="10" t="n">
        <v>720</v>
      </c>
      <c r="O7" s="11" t="n">
        <v>315</v>
      </c>
    </row>
    <row r="8" customFormat="false" ht="15" hidden="false" customHeight="false" outlineLevel="0" collapsed="false">
      <c r="A8" s="8" t="n">
        <v>46143</v>
      </c>
      <c r="B8" s="9" t="s">
        <v>52</v>
      </c>
      <c r="C8" s="9" t="s">
        <v>53</v>
      </c>
      <c r="D8" s="9" t="s">
        <v>54</v>
      </c>
      <c r="E8" s="9" t="s">
        <v>82</v>
      </c>
      <c r="F8" s="9" t="s">
        <v>82</v>
      </c>
      <c r="G8" s="9" t="s">
        <v>83</v>
      </c>
      <c r="H8" s="9" t="s">
        <v>84</v>
      </c>
      <c r="I8" s="9" t="s">
        <v>85</v>
      </c>
      <c r="J8" s="9" t="s">
        <v>86</v>
      </c>
      <c r="K8" s="9" t="s">
        <v>61</v>
      </c>
      <c r="L8" s="9" t="s">
        <v>62</v>
      </c>
      <c r="M8" s="9" t="s">
        <v>63</v>
      </c>
      <c r="N8" s="10" t="n">
        <v>720</v>
      </c>
      <c r="O8" s="11" t="n">
        <v>18.3</v>
      </c>
    </row>
    <row r="9" customFormat="false" ht="15" hidden="false" customHeight="false" outlineLevel="0" collapsed="false">
      <c r="A9" s="8" t="n">
        <v>46143</v>
      </c>
      <c r="B9" s="9" t="s">
        <v>52</v>
      </c>
      <c r="C9" s="9" t="s">
        <v>87</v>
      </c>
      <c r="D9" s="9" t="s">
        <v>88</v>
      </c>
      <c r="E9" s="9" t="s">
        <v>55</v>
      </c>
      <c r="F9" s="9" t="s">
        <v>56</v>
      </c>
      <c r="G9" s="9" t="s">
        <v>57</v>
      </c>
      <c r="H9" s="9" t="s">
        <v>89</v>
      </c>
      <c r="I9" s="9" t="s">
        <v>90</v>
      </c>
      <c r="J9" s="9" t="s">
        <v>91</v>
      </c>
      <c r="K9" s="9" t="s">
        <v>92</v>
      </c>
      <c r="L9" s="9" t="s">
        <v>93</v>
      </c>
      <c r="M9" s="9" t="s">
        <v>63</v>
      </c>
      <c r="N9" s="10" t="n">
        <v>480</v>
      </c>
      <c r="O9" s="11" t="n">
        <v>22.1</v>
      </c>
    </row>
    <row r="10" customFormat="false" ht="15" hidden="false" customHeight="false" outlineLevel="0" collapsed="false">
      <c r="A10" s="8" t="n">
        <v>46143</v>
      </c>
      <c r="B10" s="9" t="s">
        <v>52</v>
      </c>
      <c r="C10" s="9" t="s">
        <v>87</v>
      </c>
      <c r="D10" s="9" t="s">
        <v>88</v>
      </c>
      <c r="E10" s="9" t="s">
        <v>94</v>
      </c>
      <c r="F10" s="9" t="s">
        <v>95</v>
      </c>
      <c r="G10" s="9" t="s">
        <v>96</v>
      </c>
      <c r="H10" s="9" t="s">
        <v>97</v>
      </c>
      <c r="I10" s="9" t="s">
        <v>98</v>
      </c>
      <c r="J10" s="9" t="s">
        <v>99</v>
      </c>
      <c r="K10" s="9" t="s">
        <v>92</v>
      </c>
      <c r="L10" s="9" t="s">
        <v>93</v>
      </c>
      <c r="M10" s="9" t="s">
        <v>63</v>
      </c>
      <c r="N10" s="10" t="n">
        <v>720</v>
      </c>
      <c r="O10" s="11" t="n">
        <v>64.8</v>
      </c>
    </row>
    <row r="11" customFormat="false" ht="15" hidden="false" customHeight="false" outlineLevel="0" collapsed="false">
      <c r="A11" s="8" t="n">
        <v>46143</v>
      </c>
      <c r="B11" s="9" t="s">
        <v>52</v>
      </c>
      <c r="C11" s="9" t="s">
        <v>87</v>
      </c>
      <c r="D11" s="9" t="s">
        <v>88</v>
      </c>
      <c r="E11" s="9" t="s">
        <v>71</v>
      </c>
      <c r="F11" s="9" t="s">
        <v>71</v>
      </c>
      <c r="G11" s="9" t="s">
        <v>72</v>
      </c>
      <c r="H11" s="9" t="s">
        <v>73</v>
      </c>
      <c r="I11" s="9" t="s">
        <v>100</v>
      </c>
      <c r="J11" s="9" t="s">
        <v>101</v>
      </c>
      <c r="K11" s="9" t="s">
        <v>92</v>
      </c>
      <c r="L11" s="9" t="s">
        <v>93</v>
      </c>
      <c r="M11" s="9" t="s">
        <v>76</v>
      </c>
      <c r="N11" s="10" t="n">
        <v>512</v>
      </c>
      <c r="O11" s="11" t="n">
        <v>11.8</v>
      </c>
    </row>
    <row r="12" customFormat="false" ht="15" hidden="false" customHeight="false" outlineLevel="0" collapsed="false">
      <c r="A12" s="8" t="n">
        <v>46174</v>
      </c>
      <c r="B12" s="9" t="s">
        <v>102</v>
      </c>
      <c r="C12" s="9" t="s">
        <v>53</v>
      </c>
      <c r="D12" s="9" t="s">
        <v>54</v>
      </c>
      <c r="E12" s="9" t="s">
        <v>55</v>
      </c>
      <c r="F12" s="9" t="s">
        <v>56</v>
      </c>
      <c r="G12" s="9" t="s">
        <v>57</v>
      </c>
      <c r="H12" s="9" t="s">
        <v>58</v>
      </c>
      <c r="I12" s="9" t="s">
        <v>59</v>
      </c>
      <c r="J12" s="9" t="s">
        <v>60</v>
      </c>
      <c r="K12" s="9" t="s">
        <v>61</v>
      </c>
      <c r="L12" s="9" t="s">
        <v>62</v>
      </c>
      <c r="M12" s="9" t="s">
        <v>63</v>
      </c>
      <c r="N12" s="10" t="n">
        <v>720</v>
      </c>
      <c r="O12" s="11" t="n">
        <v>188.6</v>
      </c>
    </row>
    <row r="13" customFormat="false" ht="15" hidden="false" customHeight="false" outlineLevel="0" collapsed="false">
      <c r="A13" s="8" t="n">
        <v>46174</v>
      </c>
      <c r="B13" s="9" t="s">
        <v>102</v>
      </c>
      <c r="C13" s="9" t="s">
        <v>53</v>
      </c>
      <c r="D13" s="9" t="s">
        <v>54</v>
      </c>
      <c r="E13" s="9" t="s">
        <v>55</v>
      </c>
      <c r="F13" s="9" t="s">
        <v>56</v>
      </c>
      <c r="G13" s="9" t="s">
        <v>57</v>
      </c>
      <c r="H13" s="9" t="s">
        <v>64</v>
      </c>
      <c r="I13" s="9" t="s">
        <v>65</v>
      </c>
      <c r="J13" s="9" t="s">
        <v>66</v>
      </c>
      <c r="K13" s="9" t="s">
        <v>61</v>
      </c>
      <c r="L13" s="9" t="s">
        <v>62</v>
      </c>
      <c r="M13" s="9" t="s">
        <v>63</v>
      </c>
      <c r="N13" s="10" t="n">
        <v>720</v>
      </c>
      <c r="O13" s="11" t="n">
        <v>93.8</v>
      </c>
    </row>
    <row r="14" customFormat="false" ht="15" hidden="false" customHeight="false" outlineLevel="0" collapsed="false">
      <c r="A14" s="8" t="n">
        <v>46174</v>
      </c>
      <c r="B14" s="9" t="s">
        <v>102</v>
      </c>
      <c r="C14" s="9" t="s">
        <v>53</v>
      </c>
      <c r="D14" s="9" t="s">
        <v>54</v>
      </c>
      <c r="E14" s="9" t="s">
        <v>55</v>
      </c>
      <c r="F14" s="9" t="s">
        <v>56</v>
      </c>
      <c r="G14" s="9" t="s">
        <v>57</v>
      </c>
      <c r="H14" s="9" t="s">
        <v>67</v>
      </c>
      <c r="I14" s="9" t="s">
        <v>68</v>
      </c>
      <c r="J14" s="9" t="s">
        <v>69</v>
      </c>
      <c r="K14" s="9" t="s">
        <v>61</v>
      </c>
      <c r="L14" s="9" t="s">
        <v>70</v>
      </c>
      <c r="M14" s="9" t="s">
        <v>63</v>
      </c>
      <c r="N14" s="10" t="n">
        <v>720</v>
      </c>
      <c r="O14" s="11" t="n">
        <v>55.9</v>
      </c>
    </row>
    <row r="15" customFormat="false" ht="15" hidden="false" customHeight="false" outlineLevel="0" collapsed="false">
      <c r="A15" s="8" t="n">
        <v>46174</v>
      </c>
      <c r="B15" s="9" t="s">
        <v>102</v>
      </c>
      <c r="C15" s="9" t="s">
        <v>53</v>
      </c>
      <c r="D15" s="9" t="s">
        <v>54</v>
      </c>
      <c r="E15" s="9" t="s">
        <v>71</v>
      </c>
      <c r="F15" s="9" t="s">
        <v>71</v>
      </c>
      <c r="G15" s="9" t="s">
        <v>72</v>
      </c>
      <c r="H15" s="9" t="s">
        <v>73</v>
      </c>
      <c r="I15" s="9" t="s">
        <v>74</v>
      </c>
      <c r="J15" s="9" t="s">
        <v>75</v>
      </c>
      <c r="K15" s="9" t="s">
        <v>61</v>
      </c>
      <c r="L15" s="9" t="s">
        <v>62</v>
      </c>
      <c r="M15" s="9" t="s">
        <v>76</v>
      </c>
      <c r="N15" s="10" t="n">
        <v>2150</v>
      </c>
      <c r="O15" s="11" t="n">
        <v>49.6</v>
      </c>
    </row>
    <row r="16" customFormat="false" ht="15" hidden="false" customHeight="false" outlineLevel="0" collapsed="false">
      <c r="A16" s="8" t="n">
        <v>46174</v>
      </c>
      <c r="B16" s="9" t="s">
        <v>102</v>
      </c>
      <c r="C16" s="9" t="s">
        <v>53</v>
      </c>
      <c r="D16" s="9" t="s">
        <v>54</v>
      </c>
      <c r="E16" s="9" t="s">
        <v>77</v>
      </c>
      <c r="F16" s="9" t="s">
        <v>77</v>
      </c>
      <c r="G16" s="9" t="s">
        <v>78</v>
      </c>
      <c r="H16" s="9" t="s">
        <v>79</v>
      </c>
      <c r="I16" s="9" t="s">
        <v>80</v>
      </c>
      <c r="J16" s="9" t="s">
        <v>81</v>
      </c>
      <c r="K16" s="9" t="s">
        <v>61</v>
      </c>
      <c r="L16" s="9" t="s">
        <v>62</v>
      </c>
      <c r="M16" s="9" t="s">
        <v>63</v>
      </c>
      <c r="N16" s="10" t="n">
        <v>720</v>
      </c>
      <c r="O16" s="11" t="n">
        <v>315</v>
      </c>
    </row>
    <row r="17" customFormat="false" ht="15" hidden="false" customHeight="false" outlineLevel="0" collapsed="false">
      <c r="A17" s="8" t="n">
        <v>46174</v>
      </c>
      <c r="B17" s="9" t="s">
        <v>102</v>
      </c>
      <c r="C17" s="9" t="s">
        <v>53</v>
      </c>
      <c r="D17" s="9" t="s">
        <v>54</v>
      </c>
      <c r="E17" s="9" t="s">
        <v>82</v>
      </c>
      <c r="F17" s="9" t="s">
        <v>82</v>
      </c>
      <c r="G17" s="9" t="s">
        <v>83</v>
      </c>
      <c r="H17" s="9" t="s">
        <v>84</v>
      </c>
      <c r="I17" s="9" t="s">
        <v>85</v>
      </c>
      <c r="J17" s="9" t="s">
        <v>86</v>
      </c>
      <c r="K17" s="9" t="s">
        <v>61</v>
      </c>
      <c r="L17" s="9" t="s">
        <v>62</v>
      </c>
      <c r="M17" s="9" t="s">
        <v>63</v>
      </c>
      <c r="N17" s="10" t="n">
        <v>720</v>
      </c>
      <c r="O17" s="11" t="n">
        <v>18.3</v>
      </c>
    </row>
    <row r="18" customFormat="false" ht="15" hidden="false" customHeight="false" outlineLevel="0" collapsed="false">
      <c r="A18" s="8" t="n">
        <v>46174</v>
      </c>
      <c r="B18" s="9" t="s">
        <v>102</v>
      </c>
      <c r="C18" s="9" t="s">
        <v>87</v>
      </c>
      <c r="D18" s="9" t="s">
        <v>88</v>
      </c>
      <c r="E18" s="9" t="s">
        <v>55</v>
      </c>
      <c r="F18" s="9" t="s">
        <v>56</v>
      </c>
      <c r="G18" s="9" t="s">
        <v>57</v>
      </c>
      <c r="H18" s="9" t="s">
        <v>89</v>
      </c>
      <c r="I18" s="9" t="s">
        <v>90</v>
      </c>
      <c r="J18" s="9" t="s">
        <v>91</v>
      </c>
      <c r="K18" s="9" t="s">
        <v>92</v>
      </c>
      <c r="L18" s="9" t="s">
        <v>93</v>
      </c>
      <c r="M18" s="9" t="s">
        <v>63</v>
      </c>
      <c r="N18" s="10" t="n">
        <v>480</v>
      </c>
      <c r="O18" s="11" t="n">
        <v>22.9</v>
      </c>
    </row>
    <row r="19" customFormat="false" ht="15" hidden="false" customHeight="false" outlineLevel="0" collapsed="false">
      <c r="A19" s="8" t="n">
        <v>46174</v>
      </c>
      <c r="B19" s="9" t="s">
        <v>102</v>
      </c>
      <c r="C19" s="9" t="s">
        <v>87</v>
      </c>
      <c r="D19" s="9" t="s">
        <v>88</v>
      </c>
      <c r="E19" s="9" t="s">
        <v>94</v>
      </c>
      <c r="F19" s="9" t="s">
        <v>95</v>
      </c>
      <c r="G19" s="9" t="s">
        <v>96</v>
      </c>
      <c r="H19" s="9" t="s">
        <v>97</v>
      </c>
      <c r="I19" s="9" t="s">
        <v>98</v>
      </c>
      <c r="J19" s="9" t="s">
        <v>99</v>
      </c>
      <c r="K19" s="9" t="s">
        <v>92</v>
      </c>
      <c r="L19" s="9" t="s">
        <v>93</v>
      </c>
      <c r="M19" s="9" t="s">
        <v>63</v>
      </c>
      <c r="N19" s="10" t="n">
        <v>720</v>
      </c>
      <c r="O19" s="11" t="n">
        <v>64.8</v>
      </c>
    </row>
    <row r="20" customFormat="false" ht="15" hidden="false" customHeight="false" outlineLevel="0" collapsed="false">
      <c r="A20" s="8" t="n">
        <v>46174</v>
      </c>
      <c r="B20" s="9" t="s">
        <v>102</v>
      </c>
      <c r="C20" s="9" t="s">
        <v>87</v>
      </c>
      <c r="D20" s="9" t="s">
        <v>88</v>
      </c>
      <c r="E20" s="9" t="s">
        <v>71</v>
      </c>
      <c r="F20" s="9" t="s">
        <v>71</v>
      </c>
      <c r="G20" s="9" t="s">
        <v>72</v>
      </c>
      <c r="H20" s="9" t="s">
        <v>73</v>
      </c>
      <c r="I20" s="9" t="s">
        <v>100</v>
      </c>
      <c r="J20" s="9" t="s">
        <v>101</v>
      </c>
      <c r="K20" s="9" t="s">
        <v>92</v>
      </c>
      <c r="L20" s="9" t="s">
        <v>93</v>
      </c>
      <c r="M20" s="9" t="s">
        <v>76</v>
      </c>
      <c r="N20" s="10" t="n">
        <v>560</v>
      </c>
      <c r="O20" s="11" t="n">
        <v>12.9</v>
      </c>
    </row>
    <row r="21" customFormat="false" ht="15" hidden="false" customHeight="false" outlineLevel="0" collapsed="false">
      <c r="A21" s="8" t="n">
        <v>46174</v>
      </c>
      <c r="B21" s="9" t="s">
        <v>102</v>
      </c>
      <c r="C21" s="9" t="s">
        <v>53</v>
      </c>
      <c r="D21" s="9" t="s">
        <v>54</v>
      </c>
      <c r="E21" s="9" t="s">
        <v>82</v>
      </c>
      <c r="F21" s="9" t="s">
        <v>82</v>
      </c>
      <c r="G21" s="9" t="s">
        <v>103</v>
      </c>
      <c r="H21" s="9" t="s">
        <v>104</v>
      </c>
      <c r="I21" s="9" t="s">
        <v>105</v>
      </c>
      <c r="J21" s="9" t="s">
        <v>106</v>
      </c>
      <c r="K21" s="9" t="s">
        <v>61</v>
      </c>
      <c r="L21" s="9" t="s">
        <v>62</v>
      </c>
      <c r="M21" s="9" t="s">
        <v>63</v>
      </c>
      <c r="N21" s="10" t="n">
        <v>720</v>
      </c>
      <c r="O21" s="11" t="n">
        <v>138.2</v>
      </c>
    </row>
    <row r="22" customFormat="false" ht="15" hidden="false" customHeight="false" outlineLevel="0" collapsed="false">
      <c r="A22" s="8" t="n">
        <v>46174</v>
      </c>
      <c r="B22" s="9" t="s">
        <v>102</v>
      </c>
      <c r="C22" s="9" t="s">
        <v>53</v>
      </c>
      <c r="D22" s="9" t="s">
        <v>54</v>
      </c>
      <c r="E22" s="9" t="s">
        <v>55</v>
      </c>
      <c r="F22" s="9" t="s">
        <v>56</v>
      </c>
      <c r="G22" s="9" t="s">
        <v>57</v>
      </c>
      <c r="H22" s="9" t="s">
        <v>107</v>
      </c>
      <c r="I22" s="9" t="s">
        <v>108</v>
      </c>
      <c r="J22" s="9" t="s">
        <v>109</v>
      </c>
      <c r="K22" s="9" t="s">
        <v>61</v>
      </c>
      <c r="L22" s="9" t="s">
        <v>62</v>
      </c>
      <c r="M22" s="9" t="s">
        <v>63</v>
      </c>
      <c r="N22" s="10" t="n">
        <v>720</v>
      </c>
      <c r="O22" s="11" t="n">
        <v>365.8</v>
      </c>
    </row>
    <row r="23" customFormat="false" ht="15" hidden="false" customHeight="false" outlineLevel="0" collapsed="false">
      <c r="A23" s="8" t="n">
        <v>46204</v>
      </c>
      <c r="B23" s="9" t="s">
        <v>110</v>
      </c>
      <c r="C23" s="9" t="s">
        <v>53</v>
      </c>
      <c r="D23" s="9" t="s">
        <v>54</v>
      </c>
      <c r="E23" s="9" t="s">
        <v>55</v>
      </c>
      <c r="F23" s="9" t="s">
        <v>56</v>
      </c>
      <c r="G23" s="9" t="s">
        <v>57</v>
      </c>
      <c r="H23" s="9" t="s">
        <v>58</v>
      </c>
      <c r="I23" s="9" t="s">
        <v>59</v>
      </c>
      <c r="J23" s="9" t="s">
        <v>60</v>
      </c>
      <c r="K23" s="9" t="s">
        <v>61</v>
      </c>
      <c r="L23" s="9" t="s">
        <v>62</v>
      </c>
      <c r="M23" s="9" t="s">
        <v>63</v>
      </c>
      <c r="N23" s="10" t="n">
        <v>504</v>
      </c>
      <c r="O23" s="11" t="n">
        <v>132</v>
      </c>
    </row>
    <row r="24" customFormat="false" ht="15" hidden="false" customHeight="false" outlineLevel="0" collapsed="false">
      <c r="A24" s="8" t="n">
        <v>46204</v>
      </c>
      <c r="B24" s="9" t="s">
        <v>110</v>
      </c>
      <c r="C24" s="9" t="s">
        <v>53</v>
      </c>
      <c r="D24" s="9" t="s">
        <v>54</v>
      </c>
      <c r="E24" s="9" t="s">
        <v>77</v>
      </c>
      <c r="F24" s="9" t="s">
        <v>77</v>
      </c>
      <c r="G24" s="9" t="s">
        <v>78</v>
      </c>
      <c r="H24" s="9" t="s">
        <v>79</v>
      </c>
      <c r="I24" s="9" t="s">
        <v>80</v>
      </c>
      <c r="J24" s="9" t="s">
        <v>81</v>
      </c>
      <c r="K24" s="9" t="s">
        <v>61</v>
      </c>
      <c r="L24" s="9" t="s">
        <v>62</v>
      </c>
      <c r="M24" s="9" t="s">
        <v>63</v>
      </c>
      <c r="N24" s="10" t="n">
        <v>504</v>
      </c>
      <c r="O24" s="11" t="n">
        <v>220.5</v>
      </c>
    </row>
    <row r="25" customFormat="false" ht="15" hidden="false" customHeight="false" outlineLevel="0" collapsed="false">
      <c r="A25" s="8" t="n">
        <v>46204</v>
      </c>
      <c r="B25" s="9" t="s">
        <v>110</v>
      </c>
      <c r="C25" s="9" t="s">
        <v>87</v>
      </c>
      <c r="D25" s="9" t="s">
        <v>88</v>
      </c>
      <c r="E25" s="9" t="s">
        <v>94</v>
      </c>
      <c r="F25" s="9" t="s">
        <v>95</v>
      </c>
      <c r="G25" s="9" t="s">
        <v>96</v>
      </c>
      <c r="H25" s="9" t="s">
        <v>97</v>
      </c>
      <c r="I25" s="9" t="s">
        <v>98</v>
      </c>
      <c r="J25" s="9" t="s">
        <v>99</v>
      </c>
      <c r="K25" s="9" t="s">
        <v>92</v>
      </c>
      <c r="L25" s="9" t="s">
        <v>93</v>
      </c>
      <c r="M25" s="9" t="s">
        <v>63</v>
      </c>
      <c r="N25" s="10" t="n">
        <v>504</v>
      </c>
      <c r="O25" s="11" t="n">
        <v>45.4</v>
      </c>
    </row>
    <row r="26" customFormat="false" ht="15" hidden="false" customHeight="false" outlineLevel="0" collapsed="false">
      <c r="A26" s="8" t="n">
        <v>46204</v>
      </c>
      <c r="B26" s="9" t="s">
        <v>110</v>
      </c>
      <c r="C26" s="9" t="s">
        <v>53</v>
      </c>
      <c r="D26" s="9" t="s">
        <v>54</v>
      </c>
      <c r="E26" s="9" t="s">
        <v>55</v>
      </c>
      <c r="F26" s="9" t="s">
        <v>56</v>
      </c>
      <c r="G26" s="9" t="s">
        <v>57</v>
      </c>
      <c r="H26" s="9" t="s">
        <v>107</v>
      </c>
      <c r="I26" s="9" t="s">
        <v>108</v>
      </c>
      <c r="J26" s="9" t="s">
        <v>109</v>
      </c>
      <c r="K26" s="9" t="s">
        <v>61</v>
      </c>
      <c r="L26" s="9" t="s">
        <v>62</v>
      </c>
      <c r="M26" s="9" t="s">
        <v>63</v>
      </c>
      <c r="N26" s="10" t="n">
        <v>504</v>
      </c>
      <c r="O26" s="11" t="n">
        <v>256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6" min="2" style="0" width="16"/>
    <col collapsed="false" customWidth="true" hidden="false" outlineLevel="0" max="7" min="7" style="0" width="3"/>
    <col collapsed="false" customWidth="true" hidden="false" outlineLevel="0" max="9" min="8" style="0" width="18"/>
    <col collapsed="false" customWidth="true" hidden="true" outlineLevel="0" max="10" min="10" style="0" width="18"/>
    <col collapsed="false" customWidth="true" hidden="true" outlineLevel="0" max="11" min="11" style="0" width="13"/>
  </cols>
  <sheetData>
    <row r="1" customFormat="false" ht="15" hidden="false" customHeight="false" outlineLevel="0" collapsed="false">
      <c r="J1" s="0" t="s">
        <v>111</v>
      </c>
    </row>
    <row r="2" customFormat="false" ht="19.7" hidden="false" customHeight="false" outlineLevel="0" collapsed="false">
      <c r="B2" s="1" t="s">
        <v>112</v>
      </c>
      <c r="J2" s="12" t="s">
        <v>59</v>
      </c>
      <c r="K2" s="12" t="n">
        <f aca="false">SUMIFS(TablaConsumo[Consumo],TablaConsumo[Instancia],J2)+(ROW()/100000000)</f>
        <v>503.00000002</v>
      </c>
    </row>
    <row r="3" customFormat="false" ht="15" hidden="false" customHeight="false" outlineLevel="0" collapsed="false">
      <c r="B3" s="2" t="s">
        <v>113</v>
      </c>
      <c r="J3" s="12" t="s">
        <v>65</v>
      </c>
      <c r="K3" s="12" t="n">
        <f aca="false">SUMIFS(TablaConsumo[Consumo],TablaConsumo[Instancia],J3)+(ROW()/100000000)</f>
        <v>185.00000003</v>
      </c>
    </row>
    <row r="4" customFormat="false" ht="15" hidden="false" customHeight="false" outlineLevel="0" collapsed="false">
      <c r="J4" s="0" t="s">
        <v>68</v>
      </c>
      <c r="K4" s="0" t="n">
        <f aca="false">SUMIFS(TablaConsumo[Consumo],TablaConsumo[Instancia],J4)+(ROW()/100000000)</f>
        <v>110.50000004</v>
      </c>
    </row>
    <row r="5" customFormat="false" ht="15" hidden="false" customHeight="false" outlineLevel="0" collapsed="false">
      <c r="B5" s="13" t="s">
        <v>114</v>
      </c>
      <c r="C5" s="13"/>
      <c r="D5" s="13" t="s">
        <v>115</v>
      </c>
      <c r="E5" s="13"/>
      <c r="F5" s="13" t="s">
        <v>116</v>
      </c>
      <c r="G5" s="13"/>
      <c r="H5" s="13" t="s">
        <v>117</v>
      </c>
      <c r="I5" s="13"/>
      <c r="J5" s="12" t="s">
        <v>74</v>
      </c>
      <c r="K5" s="12" t="n">
        <f aca="false">SUMIFS(TablaConsumo[Consumo],TablaConsumo[Instancia],J5)+(ROW()/100000000)</f>
        <v>96.70000005</v>
      </c>
    </row>
    <row r="6" customFormat="false" ht="15" hidden="false" customHeight="false" outlineLevel="0" collapsed="false">
      <c r="B6" s="14" t="n">
        <f aca="false">SUM(TablaConsumo[Consumo])</f>
        <v>2787</v>
      </c>
      <c r="C6" s="14"/>
      <c r="D6" s="14" t="n">
        <f aca="false">SUMIFS(TablaConsumo[Consumo],TablaConsumo[MesAño],TEXT(MAX(TablaConsumo[FechaConsumo]),"yyyy-mm"))</f>
        <v>653.9</v>
      </c>
      <c r="E6" s="14"/>
      <c r="F6" s="14" t="n">
        <f aca="false">SUM(TablaConsumo[Consumo])/SUMPRODUCT(1/COUNTIF(TablaConsumo[MesAño],TablaConsumo[MesAño]))</f>
        <v>929</v>
      </c>
      <c r="G6" s="14"/>
      <c r="H6" s="15" t="n">
        <f aca="false">SUMPRODUCT(1/COUNTIF(TablaConsumo[Instancia],TablaConsumo[Instancia]))</f>
        <v>11</v>
      </c>
      <c r="I6" s="15"/>
      <c r="J6" s="12" t="s">
        <v>80</v>
      </c>
      <c r="K6" s="12" t="n">
        <f aca="false">SUMIFS(TablaConsumo[Consumo],TablaConsumo[Instancia],J6)+(ROW()/100000000)</f>
        <v>850.50000006</v>
      </c>
    </row>
    <row r="7" customFormat="false" ht="15" hidden="false" customHeight="false" outlineLevel="0" collapsed="false">
      <c r="B7" s="14"/>
      <c r="C7" s="14"/>
      <c r="D7" s="14"/>
      <c r="E7" s="14"/>
      <c r="F7" s="14"/>
      <c r="G7" s="14"/>
      <c r="H7" s="15"/>
      <c r="I7" s="15"/>
      <c r="J7" s="12" t="s">
        <v>85</v>
      </c>
      <c r="K7" s="12" t="n">
        <f aca="false">SUMIFS(TablaConsumo[Consumo],TablaConsumo[Instancia],J7)+(ROW()/100000000)</f>
        <v>36.60000007</v>
      </c>
    </row>
    <row r="8" customFormat="false" ht="15" hidden="false" customHeight="false" outlineLevel="0" collapsed="false">
      <c r="J8" s="0" t="s">
        <v>90</v>
      </c>
      <c r="K8" s="0" t="n">
        <f aca="false">SUMIFS(TablaConsumo[Consumo],TablaConsumo[Instancia],J8)+(ROW()/100000000)</f>
        <v>45.00000008</v>
      </c>
    </row>
    <row r="9" customFormat="false" ht="15" hidden="false" customHeight="false" outlineLevel="0" collapsed="false">
      <c r="J9" s="0" t="s">
        <v>98</v>
      </c>
      <c r="K9" s="0" t="n">
        <f aca="false">SUMIFS(TablaConsumo[Consumo],TablaConsumo[Instancia],J9)+(ROW()/100000000)</f>
        <v>175.00000009</v>
      </c>
    </row>
    <row r="10" customFormat="false" ht="15" hidden="false" customHeight="false" outlineLevel="0" collapsed="false">
      <c r="B10" s="16" t="s">
        <v>118</v>
      </c>
      <c r="C10" s="16"/>
      <c r="E10" s="16" t="s">
        <v>119</v>
      </c>
      <c r="F10" s="16"/>
      <c r="J10" s="12" t="s">
        <v>100</v>
      </c>
      <c r="K10" s="12" t="n">
        <f aca="false">SUMIFS(TablaConsumo[Consumo],TablaConsumo[Instancia],J10)+(ROW()/100000000)</f>
        <v>24.7000001</v>
      </c>
    </row>
    <row r="11" customFormat="false" ht="15" hidden="false" customHeight="false" outlineLevel="0" collapsed="false">
      <c r="B11" s="17" t="s">
        <v>41</v>
      </c>
      <c r="C11" s="17" t="s">
        <v>51</v>
      </c>
      <c r="E11" s="17" t="s">
        <v>48</v>
      </c>
      <c r="F11" s="17" t="s">
        <v>51</v>
      </c>
      <c r="J11" s="12" t="s">
        <v>105</v>
      </c>
      <c r="K11" s="12" t="n">
        <f aca="false">SUMIFS(TablaConsumo[Consumo],TablaConsumo[Instancia],J11)+(ROW()/100000000)</f>
        <v>138.20000011</v>
      </c>
    </row>
    <row r="12" customFormat="false" ht="15" hidden="false" customHeight="false" outlineLevel="0" collapsed="false">
      <c r="B12" s="18" t="s">
        <v>55</v>
      </c>
      <c r="C12" s="19" t="n">
        <f aca="false">SUMIFS(TablaConsumo[Consumo],TablaConsumo[Categoría],B12)</f>
        <v>1465.3</v>
      </c>
      <c r="E12" s="18" t="s">
        <v>62</v>
      </c>
      <c r="F12" s="19" t="n">
        <f aca="false">SUMIFS(TablaConsumo[Consumo],TablaConsumo[Región],E12)</f>
        <v>2431.8</v>
      </c>
      <c r="J12" s="12" t="s">
        <v>108</v>
      </c>
      <c r="K12" s="12" t="n">
        <f aca="false">SUMIFS(TablaConsumo[Consumo],TablaConsumo[Instancia],J12)+(ROW()/100000000)</f>
        <v>621.80000012</v>
      </c>
    </row>
    <row r="13" customFormat="false" ht="15" hidden="false" customHeight="false" outlineLevel="0" collapsed="false">
      <c r="B13" s="18" t="s">
        <v>71</v>
      </c>
      <c r="C13" s="19" t="n">
        <f aca="false">SUMIFS(TablaConsumo[Consumo],TablaConsumo[Categoría],B13)</f>
        <v>121.4</v>
      </c>
      <c r="E13" s="18" t="s">
        <v>70</v>
      </c>
      <c r="F13" s="19" t="n">
        <f aca="false">SUMIFS(TablaConsumo[Consumo],TablaConsumo[Región],E13)</f>
        <v>110.5</v>
      </c>
    </row>
    <row r="14" customFormat="false" ht="15" hidden="false" customHeight="false" outlineLevel="0" collapsed="false">
      <c r="B14" s="18" t="s">
        <v>77</v>
      </c>
      <c r="C14" s="19" t="n">
        <f aca="false">SUMIFS(TablaConsumo[Consumo],TablaConsumo[Categoría],B14)</f>
        <v>850.5</v>
      </c>
      <c r="E14" s="18" t="s">
        <v>93</v>
      </c>
      <c r="F14" s="19" t="n">
        <f aca="false">SUMIFS(TablaConsumo[Consumo],TablaConsumo[Región],E14)</f>
        <v>244.7</v>
      </c>
    </row>
    <row r="15" customFormat="false" ht="15" hidden="false" customHeight="false" outlineLevel="0" collapsed="false">
      <c r="B15" s="18" t="s">
        <v>82</v>
      </c>
      <c r="C15" s="19" t="n">
        <f aca="false">SUMIFS(TablaConsumo[Consumo],TablaConsumo[Categoría],B15)</f>
        <v>174.8</v>
      </c>
    </row>
    <row r="16" customFormat="false" ht="15" hidden="false" customHeight="false" outlineLevel="0" collapsed="false">
      <c r="B16" s="18" t="s">
        <v>94</v>
      </c>
      <c r="C16" s="19" t="n">
        <f aca="false">SUMIFS(TablaConsumo[Consumo],TablaConsumo[Categoría],B16)</f>
        <v>175</v>
      </c>
    </row>
    <row r="19" customFormat="false" ht="15" hidden="false" customHeight="false" outlineLevel="0" collapsed="false">
      <c r="B19" s="16" t="s">
        <v>120</v>
      </c>
      <c r="C19" s="16"/>
      <c r="E19" s="16" t="s">
        <v>121</v>
      </c>
      <c r="F19" s="16"/>
    </row>
    <row r="20" customFormat="false" ht="15" hidden="false" customHeight="false" outlineLevel="0" collapsed="false">
      <c r="B20" s="17" t="s">
        <v>38</v>
      </c>
      <c r="C20" s="17" t="s">
        <v>51</v>
      </c>
      <c r="E20" s="17" t="s">
        <v>45</v>
      </c>
      <c r="F20" s="17" t="s">
        <v>51</v>
      </c>
    </row>
    <row r="21" customFormat="false" ht="15" hidden="false" customHeight="false" outlineLevel="0" collapsed="false">
      <c r="B21" s="18" t="s">
        <v>52</v>
      </c>
      <c r="C21" s="19" t="n">
        <f aca="false">SUMIFS(TablaConsumo[Consumo],TablaConsumo[MesAño],B21)</f>
        <v>807.3</v>
      </c>
      <c r="E21" s="18" t="str">
        <f aca="false">INDEX($J$2:$J$12,MATCH(LARGE($K$2:$K$12,1),$K$2:$K$12,0))</f>
        <v>sql-ruv-prod</v>
      </c>
      <c r="F21" s="19" t="n">
        <f aca="false">ROUND(LARGE($K$2:$K$12,1),2)</f>
        <v>850.5</v>
      </c>
    </row>
    <row r="22" customFormat="false" ht="15" hidden="false" customHeight="false" outlineLevel="0" collapsed="false">
      <c r="B22" s="18" t="s">
        <v>102</v>
      </c>
      <c r="C22" s="19" t="n">
        <f aca="false">SUMIFS(TablaConsumo[Consumo],TablaConsumo[MesAño],B22)</f>
        <v>1325.8</v>
      </c>
      <c r="E22" s="18" t="str">
        <f aca="false">INDEX($J$2:$J$12,MATCH(LARGE($K$2:$K$12,2),$K$2:$K$12,0))</f>
        <v>VM-RUV-DB01</v>
      </c>
      <c r="F22" s="19" t="n">
        <f aca="false">ROUND(LARGE($K$2:$K$12,2),2)</f>
        <v>621.8</v>
      </c>
    </row>
    <row r="23" customFormat="false" ht="15" hidden="false" customHeight="false" outlineLevel="0" collapsed="false">
      <c r="B23" s="18" t="s">
        <v>110</v>
      </c>
      <c r="C23" s="19" t="n">
        <f aca="false">SUMIFS(TablaConsumo[Consumo],TablaConsumo[MesAño],B23)</f>
        <v>653.9</v>
      </c>
      <c r="E23" s="18" t="str">
        <f aca="false">INDEX($J$2:$J$12,MATCH(LARGE($K$2:$K$12,3),$K$2:$K$12,0))</f>
        <v>VM-RUV-APP01</v>
      </c>
      <c r="F23" s="19" t="n">
        <f aca="false">ROUND(LARGE($K$2:$K$12,3),2)</f>
        <v>503</v>
      </c>
    </row>
    <row r="24" customFormat="false" ht="15" hidden="false" customHeight="false" outlineLevel="0" collapsed="false">
      <c r="E24" s="18" t="str">
        <f aca="false">INDEX($J$2:$J$12,MATCH(LARGE($K$2:$K$12,4),$K$2:$K$12,0))</f>
        <v>VM-RUV-APP02</v>
      </c>
      <c r="F24" s="19" t="n">
        <f aca="false">ROUND(LARGE($K$2:$K$12,4),2)</f>
        <v>185</v>
      </c>
    </row>
    <row r="25" customFormat="false" ht="15" hidden="false" customHeight="false" outlineLevel="0" collapsed="false">
      <c r="E25" s="18" t="str">
        <f aca="false">INDEX($J$2:$J$12,MATCH(LARGE($K$2:$K$12,5),$K$2:$K$12,0))</f>
        <v>app-ruv-dev</v>
      </c>
      <c r="F25" s="19" t="n">
        <f aca="false">ROUND(LARGE($K$2:$K$12,5),2)</f>
        <v>175</v>
      </c>
    </row>
    <row r="26" customFormat="false" ht="15" hidden="false" customHeight="false" outlineLevel="0" collapsed="false">
      <c r="E26" s="18" t="str">
        <f aca="false">INDEX($J$2:$J$12,MATCH(LARGE($K$2:$K$12,6),$K$2:$K$12,0))</f>
        <v>vpngw-ruv-prod</v>
      </c>
      <c r="F26" s="19" t="n">
        <f aca="false">ROUND(LARGE($K$2:$K$12,6),2)</f>
        <v>138.2</v>
      </c>
    </row>
    <row r="27" customFormat="false" ht="15" hidden="false" customHeight="false" outlineLevel="0" collapsed="false">
      <c r="E27" s="18" t="str">
        <f aca="false">INDEX($J$2:$J$12,MATCH(LARGE($K$2:$K$12,7),$K$2:$K$12,0))</f>
        <v>VM-RUV-WEB01</v>
      </c>
      <c r="F27" s="19" t="n">
        <f aca="false">ROUND(LARGE($K$2:$K$12,7),2)</f>
        <v>110.5</v>
      </c>
    </row>
    <row r="28" customFormat="false" ht="15" hidden="false" customHeight="false" outlineLevel="0" collapsed="false">
      <c r="E28" s="18" t="str">
        <f aca="false">INDEX($J$2:$J$12,MATCH(LARGE($K$2:$K$12,8),$K$2:$K$12,0))</f>
        <v>stgruvprod01</v>
      </c>
      <c r="F28" s="19" t="n">
        <f aca="false">ROUND(LARGE($K$2:$K$12,8),2)</f>
        <v>96.7</v>
      </c>
    </row>
    <row r="29" customFormat="false" ht="15" hidden="false" customHeight="false" outlineLevel="0" collapsed="false">
      <c r="E29" s="18" t="str">
        <f aca="false">INDEX($J$2:$J$12,MATCH(LARGE($K$2:$K$12,9),$K$2:$K$12,0))</f>
        <v>VM-RUV-DEV01</v>
      </c>
      <c r="F29" s="19" t="n">
        <f aca="false">ROUND(LARGE($K$2:$K$12,9),2)</f>
        <v>45</v>
      </c>
    </row>
    <row r="30" customFormat="false" ht="15" hidden="false" customHeight="false" outlineLevel="0" collapsed="false">
      <c r="E30" s="18" t="str">
        <f aca="false">INDEX($J$2:$J$12,MATCH(LARGE($K$2:$K$12,10),$K$2:$K$12,0))</f>
        <v>lb-ruv-prod</v>
      </c>
      <c r="F30" s="19" t="n">
        <f aca="false">ROUND(LARGE($K$2:$K$12,10),2)</f>
        <v>36.6</v>
      </c>
    </row>
  </sheetData>
  <mergeCells count="12">
    <mergeCell ref="B5:C5"/>
    <mergeCell ref="D5:E5"/>
    <mergeCell ref="F5:G5"/>
    <mergeCell ref="H5:I5"/>
    <mergeCell ref="B6:C7"/>
    <mergeCell ref="D6:E7"/>
    <mergeCell ref="F6:G7"/>
    <mergeCell ref="H6:I7"/>
    <mergeCell ref="B10:C10"/>
    <mergeCell ref="E10:F10"/>
    <mergeCell ref="B19:C19"/>
    <mergeCell ref="E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3"/>
    <col collapsed="false" customWidth="true" hidden="false" outlineLevel="0" max="6" min="6" style="0" width="20"/>
    <col collapsed="false" customWidth="true" hidden="false" outlineLevel="0" max="7" min="7" style="0" width="16"/>
  </cols>
  <sheetData>
    <row r="2" customFormat="false" ht="19.7" hidden="false" customHeight="false" outlineLevel="0" collapsed="false">
      <c r="B2" s="1" t="s">
        <v>122</v>
      </c>
    </row>
    <row r="3" customFormat="false" ht="15" hidden="false" customHeight="false" outlineLevel="0" collapsed="false">
      <c r="B3" s="2" t="s">
        <v>123</v>
      </c>
    </row>
    <row r="5" customFormat="false" ht="15" hidden="false" customHeight="false" outlineLevel="0" collapsed="false">
      <c r="B5" s="13" t="s">
        <v>124</v>
      </c>
      <c r="C5" s="13"/>
      <c r="D5" s="13" t="s">
        <v>125</v>
      </c>
      <c r="E5" s="13"/>
      <c r="F5" s="13" t="s">
        <v>126</v>
      </c>
      <c r="G5" s="13"/>
    </row>
    <row r="6" customFormat="false" ht="15" hidden="false" customHeight="false" outlineLevel="0" collapsed="false">
      <c r="B6" s="14" t="n">
        <f aca="false">SUMIFS(TablaConsumo[Consumo],TablaConsumo[Categoría],"Virtual Machines")</f>
        <v>1465.3</v>
      </c>
      <c r="C6" s="14"/>
      <c r="D6" s="15" t="n">
        <f aca="false">SUMPRODUCT((TablaConsumo[Categoría]="Virtual Machines")/COUNTIFS(TablaConsumo[Instancia],TablaConsumo[Instancia]&amp;"",TablaConsumo[Categoría],TablaConsumo[Categoría]&amp;""))</f>
        <v>5</v>
      </c>
      <c r="E6" s="15"/>
      <c r="F6" s="14" t="n">
        <f aca="false">B6/D6</f>
        <v>293.06</v>
      </c>
      <c r="G6" s="14"/>
    </row>
    <row r="7" customFormat="false" ht="15" hidden="false" customHeight="false" outlineLevel="0" collapsed="false">
      <c r="B7" s="14"/>
      <c r="C7" s="14"/>
      <c r="D7" s="15"/>
      <c r="E7" s="15"/>
      <c r="F7" s="14"/>
      <c r="G7" s="14"/>
    </row>
    <row r="10" customFormat="false" ht="15" hidden="false" customHeight="false" outlineLevel="0" collapsed="false">
      <c r="B10" s="16" t="s">
        <v>127</v>
      </c>
      <c r="C10" s="16"/>
      <c r="D10" s="16"/>
    </row>
    <row r="11" customFormat="false" ht="15" hidden="false" customHeight="false" outlineLevel="0" collapsed="false">
      <c r="B11" s="17" t="s">
        <v>45</v>
      </c>
      <c r="C11" s="17" t="s">
        <v>48</v>
      </c>
      <c r="D11" s="17" t="s">
        <v>114</v>
      </c>
    </row>
    <row r="12" customFormat="false" ht="15" hidden="false" customHeight="false" outlineLevel="0" collapsed="false">
      <c r="B12" s="18" t="s">
        <v>59</v>
      </c>
      <c r="C12" s="18" t="str">
        <f aca="false">IFERROR(INDEX(TablaConsumo[Región],MATCH(B12,TablaConsumo[Instancia],0)),"")</f>
        <v>East US</v>
      </c>
      <c r="D12" s="19" t="n">
        <f aca="false">SUMIFS(TablaConsumo[Consumo],TablaConsumo[Instancia],B12,TablaConsumo[Categoría],"Virtual Machines")</f>
        <v>503</v>
      </c>
    </row>
    <row r="13" customFormat="false" ht="15" hidden="false" customHeight="false" outlineLevel="0" collapsed="false">
      <c r="B13" s="18" t="s">
        <v>65</v>
      </c>
      <c r="C13" s="18" t="str">
        <f aca="false">IFERROR(INDEX(TablaConsumo[Región],MATCH(B13,TablaConsumo[Instancia],0)),"")</f>
        <v>East US</v>
      </c>
      <c r="D13" s="19" t="n">
        <f aca="false">SUMIFS(TablaConsumo[Consumo],TablaConsumo[Instancia],B13,TablaConsumo[Categoría],"Virtual Machines")</f>
        <v>185</v>
      </c>
    </row>
    <row r="14" customFormat="false" ht="15" hidden="false" customHeight="false" outlineLevel="0" collapsed="false">
      <c r="B14" s="18" t="s">
        <v>68</v>
      </c>
      <c r="C14" s="18" t="str">
        <f aca="false">IFERROR(INDEX(TablaConsumo[Región],MATCH(B14,TablaConsumo[Instancia],0)),"")</f>
        <v>West Europe</v>
      </c>
      <c r="D14" s="19" t="n">
        <f aca="false">SUMIFS(TablaConsumo[Consumo],TablaConsumo[Instancia],B14,TablaConsumo[Categoría],"Virtual Machines")</f>
        <v>110.5</v>
      </c>
    </row>
    <row r="15" customFormat="false" ht="15" hidden="false" customHeight="false" outlineLevel="0" collapsed="false">
      <c r="B15" s="18" t="s">
        <v>90</v>
      </c>
      <c r="C15" s="18" t="str">
        <f aca="false">IFERROR(INDEX(TablaConsumo[Región],MATCH(B15,TablaConsumo[Instancia],0)),"")</f>
        <v>West US 2</v>
      </c>
      <c r="D15" s="19" t="n">
        <f aca="false">SUMIFS(TablaConsumo[Consumo],TablaConsumo[Instancia],B15,TablaConsumo[Categoría],"Virtual Machines")</f>
        <v>45</v>
      </c>
    </row>
    <row r="16" customFormat="false" ht="15" hidden="false" customHeight="false" outlineLevel="0" collapsed="false">
      <c r="B16" s="18" t="s">
        <v>108</v>
      </c>
      <c r="C16" s="18" t="str">
        <f aca="false">IFERROR(INDEX(TablaConsumo[Región],MATCH(B16,TablaConsumo[Instancia],0)),"")</f>
        <v>East US</v>
      </c>
      <c r="D16" s="19" t="n">
        <f aca="false">SUMIFS(TablaConsumo[Consumo],TablaConsumo[Instancia],B16,TablaConsumo[Categoría],"Virtual Machines")</f>
        <v>621.8</v>
      </c>
    </row>
  </sheetData>
  <mergeCells count="7">
    <mergeCell ref="B5:C5"/>
    <mergeCell ref="D5:E5"/>
    <mergeCell ref="F5:G5"/>
    <mergeCell ref="B6:C7"/>
    <mergeCell ref="D6:E7"/>
    <mergeCell ref="F6:G7"/>
    <mergeCell ref="B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9" min="8" style="0" width="18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6" t="s">
        <v>128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26.85" hidden="false" customHeight="false" outlineLevel="0" collapsed="false">
      <c r="A2" s="7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7" t="s">
        <v>47</v>
      </c>
      <c r="L2" s="7" t="s">
        <v>48</v>
      </c>
      <c r="M2" s="7" t="s">
        <v>49</v>
      </c>
      <c r="N2" s="7" t="s">
        <v>50</v>
      </c>
      <c r="O2" s="7" t="s">
        <v>51</v>
      </c>
    </row>
    <row r="3" customFormat="false" ht="15" hidden="false" customHeight="false" outlineLevel="0" collapsed="false">
      <c r="A3" s="20" t="n">
        <f aca="false">Datos_Consumo!A3</f>
        <v>46143</v>
      </c>
      <c r="B3" s="21" t="str">
        <f aca="false">Datos_Consumo!B3</f>
        <v>2026-05</v>
      </c>
      <c r="C3" s="21" t="str">
        <f aca="false">Datos_Consumo!C3</f>
        <v>Suscripción Producción</v>
      </c>
      <c r="D3" s="21" t="str">
        <f aca="false">Datos_Consumo!D3</f>
        <v>6f1a2b3c-0001</v>
      </c>
      <c r="E3" s="21" t="str">
        <f aca="false">Datos_Consumo!E3</f>
        <v>Virtual Machines</v>
      </c>
      <c r="F3" s="21" t="str">
        <f aca="false">Datos_Consumo!F3</f>
        <v>Compute</v>
      </c>
      <c r="G3" s="21" t="str">
        <f aca="false">Datos_Consumo!G3</f>
        <v>Azure Virtual Machines</v>
      </c>
      <c r="H3" s="21" t="str">
        <f aca="false">Datos_Consumo!H3</f>
        <v>D4s v5</v>
      </c>
      <c r="I3" s="21" t="str">
        <f aca="false">Datos_Consumo!I3</f>
        <v>VM-RUV-APP01</v>
      </c>
      <c r="J3" s="21" t="str">
        <f aca="false">Datos_Consumo!J3</f>
        <v>i-0001</v>
      </c>
      <c r="K3" s="21" t="str">
        <f aca="false">Datos_Consumo!K3</f>
        <v>rg-produccion</v>
      </c>
      <c r="L3" s="21" t="str">
        <f aca="false">Datos_Consumo!L3</f>
        <v>East US</v>
      </c>
      <c r="M3" s="21" t="str">
        <f aca="false">Datos_Consumo!M3</f>
        <v>Hours</v>
      </c>
      <c r="N3" s="22" t="n">
        <f aca="false">Datos_Consumo!N3</f>
        <v>720</v>
      </c>
      <c r="O3" s="23" t="n">
        <f aca="false">Datos_Consumo!O3</f>
        <v>182.4</v>
      </c>
    </row>
    <row r="4" customFormat="false" ht="15" hidden="false" customHeight="false" outlineLevel="0" collapsed="false">
      <c r="A4" s="20" t="n">
        <f aca="false">Datos_Consumo!A4</f>
        <v>46143</v>
      </c>
      <c r="B4" s="21" t="str">
        <f aca="false">Datos_Consumo!B4</f>
        <v>2026-05</v>
      </c>
      <c r="C4" s="21" t="str">
        <f aca="false">Datos_Consumo!C4</f>
        <v>Suscripción Producción</v>
      </c>
      <c r="D4" s="21" t="str">
        <f aca="false">Datos_Consumo!D4</f>
        <v>6f1a2b3c-0001</v>
      </c>
      <c r="E4" s="21" t="str">
        <f aca="false">Datos_Consumo!E4</f>
        <v>Virtual Machines</v>
      </c>
      <c r="F4" s="21" t="str">
        <f aca="false">Datos_Consumo!F4</f>
        <v>Compute</v>
      </c>
      <c r="G4" s="21" t="str">
        <f aca="false">Datos_Consumo!G4</f>
        <v>Azure Virtual Machines</v>
      </c>
      <c r="H4" s="21" t="str">
        <f aca="false">Datos_Consumo!H4</f>
        <v>D2s v5</v>
      </c>
      <c r="I4" s="21" t="str">
        <f aca="false">Datos_Consumo!I4</f>
        <v>VM-RUV-APP02</v>
      </c>
      <c r="J4" s="21" t="str">
        <f aca="false">Datos_Consumo!J4</f>
        <v>i-0002</v>
      </c>
      <c r="K4" s="21" t="str">
        <f aca="false">Datos_Consumo!K4</f>
        <v>rg-produccion</v>
      </c>
      <c r="L4" s="21" t="str">
        <f aca="false">Datos_Consumo!L4</f>
        <v>East US</v>
      </c>
      <c r="M4" s="21" t="str">
        <f aca="false">Datos_Consumo!M4</f>
        <v>Hours</v>
      </c>
      <c r="N4" s="22" t="n">
        <f aca="false">Datos_Consumo!N4</f>
        <v>720</v>
      </c>
      <c r="O4" s="23" t="n">
        <f aca="false">Datos_Consumo!O4</f>
        <v>91.2</v>
      </c>
    </row>
    <row r="5" customFormat="false" ht="15" hidden="false" customHeight="false" outlineLevel="0" collapsed="false">
      <c r="A5" s="20" t="n">
        <f aca="false">Datos_Consumo!A5</f>
        <v>46143</v>
      </c>
      <c r="B5" s="21" t="str">
        <f aca="false">Datos_Consumo!B5</f>
        <v>2026-05</v>
      </c>
      <c r="C5" s="21" t="str">
        <f aca="false">Datos_Consumo!C5</f>
        <v>Suscripción Producción</v>
      </c>
      <c r="D5" s="21" t="str">
        <f aca="false">Datos_Consumo!D5</f>
        <v>6f1a2b3c-0001</v>
      </c>
      <c r="E5" s="21" t="str">
        <f aca="false">Datos_Consumo!E5</f>
        <v>Virtual Machines</v>
      </c>
      <c r="F5" s="21" t="str">
        <f aca="false">Datos_Consumo!F5</f>
        <v>Compute</v>
      </c>
      <c r="G5" s="21" t="str">
        <f aca="false">Datos_Consumo!G5</f>
        <v>Azure Virtual Machines</v>
      </c>
      <c r="H5" s="21" t="str">
        <f aca="false">Datos_Consumo!H5</f>
        <v>B2ms</v>
      </c>
      <c r="I5" s="21" t="str">
        <f aca="false">Datos_Consumo!I5</f>
        <v>VM-RUV-WEB01</v>
      </c>
      <c r="J5" s="21" t="str">
        <f aca="false">Datos_Consumo!J5</f>
        <v>i-0003</v>
      </c>
      <c r="K5" s="21" t="str">
        <f aca="false">Datos_Consumo!K5</f>
        <v>rg-produccion</v>
      </c>
      <c r="L5" s="21" t="str">
        <f aca="false">Datos_Consumo!L5</f>
        <v>West Europe</v>
      </c>
      <c r="M5" s="21" t="str">
        <f aca="false">Datos_Consumo!M5</f>
        <v>Hours</v>
      </c>
      <c r="N5" s="22" t="n">
        <f aca="false">Datos_Consumo!N5</f>
        <v>720</v>
      </c>
      <c r="O5" s="23" t="n">
        <f aca="false">Datos_Consumo!O5</f>
        <v>54.6</v>
      </c>
    </row>
    <row r="6" customFormat="false" ht="15" hidden="false" customHeight="false" outlineLevel="0" collapsed="false">
      <c r="A6" s="20" t="n">
        <f aca="false">Datos_Consumo!A6</f>
        <v>46143</v>
      </c>
      <c r="B6" s="21" t="str">
        <f aca="false">Datos_Consumo!B6</f>
        <v>2026-05</v>
      </c>
      <c r="C6" s="21" t="str">
        <f aca="false">Datos_Consumo!C6</f>
        <v>Suscripción Producción</v>
      </c>
      <c r="D6" s="21" t="str">
        <f aca="false">Datos_Consumo!D6</f>
        <v>6f1a2b3c-0001</v>
      </c>
      <c r="E6" s="21" t="str">
        <f aca="false">Datos_Consumo!E6</f>
        <v>Storage</v>
      </c>
      <c r="F6" s="21" t="str">
        <f aca="false">Datos_Consumo!F6</f>
        <v>Storage</v>
      </c>
      <c r="G6" s="21" t="str">
        <f aca="false">Datos_Consumo!G6</f>
        <v>Storage Accounts</v>
      </c>
      <c r="H6" s="21" t="str">
        <f aca="false">Datos_Consumo!H6</f>
        <v>Blob Storage (LRS)</v>
      </c>
      <c r="I6" s="21" t="str">
        <f aca="false">Datos_Consumo!I6</f>
        <v>stgruvprod01</v>
      </c>
      <c r="J6" s="21" t="str">
        <f aca="false">Datos_Consumo!J6</f>
        <v>i-0004</v>
      </c>
      <c r="K6" s="21" t="str">
        <f aca="false">Datos_Consumo!K6</f>
        <v>rg-produccion</v>
      </c>
      <c r="L6" s="21" t="str">
        <f aca="false">Datos_Consumo!L6</f>
        <v>East US</v>
      </c>
      <c r="M6" s="21" t="str">
        <f aca="false">Datos_Consumo!M6</f>
        <v>GB</v>
      </c>
      <c r="N6" s="22" t="n">
        <f aca="false">Datos_Consumo!N6</f>
        <v>2048</v>
      </c>
      <c r="O6" s="23" t="n">
        <f aca="false">Datos_Consumo!O6</f>
        <v>47.1</v>
      </c>
    </row>
    <row r="7" customFormat="false" ht="15" hidden="false" customHeight="false" outlineLevel="0" collapsed="false">
      <c r="A7" s="20" t="n">
        <f aca="false">Datos_Consumo!A7</f>
        <v>46143</v>
      </c>
      <c r="B7" s="21" t="str">
        <f aca="false">Datos_Consumo!B7</f>
        <v>2026-05</v>
      </c>
      <c r="C7" s="21" t="str">
        <f aca="false">Datos_Consumo!C7</f>
        <v>Suscripción Producción</v>
      </c>
      <c r="D7" s="21" t="str">
        <f aca="false">Datos_Consumo!D7</f>
        <v>6f1a2b3c-0001</v>
      </c>
      <c r="E7" s="21" t="str">
        <f aca="false">Datos_Consumo!E7</f>
        <v>Databases</v>
      </c>
      <c r="F7" s="21" t="str">
        <f aca="false">Datos_Consumo!F7</f>
        <v>Databases</v>
      </c>
      <c r="G7" s="21" t="str">
        <f aca="false">Datos_Consumo!G7</f>
        <v>Azure SQL Database</v>
      </c>
      <c r="H7" s="21" t="str">
        <f aca="false">Datos_Consumo!H7</f>
        <v>vCore, S3</v>
      </c>
      <c r="I7" s="21" t="str">
        <f aca="false">Datos_Consumo!I7</f>
        <v>sql-ruv-prod</v>
      </c>
      <c r="J7" s="21" t="str">
        <f aca="false">Datos_Consumo!J7</f>
        <v>i-0005</v>
      </c>
      <c r="K7" s="21" t="str">
        <f aca="false">Datos_Consumo!K7</f>
        <v>rg-produccion</v>
      </c>
      <c r="L7" s="21" t="str">
        <f aca="false">Datos_Consumo!L7</f>
        <v>East US</v>
      </c>
      <c r="M7" s="21" t="str">
        <f aca="false">Datos_Consumo!M7</f>
        <v>Hours</v>
      </c>
      <c r="N7" s="22" t="n">
        <f aca="false">Datos_Consumo!N7</f>
        <v>720</v>
      </c>
      <c r="O7" s="23" t="n">
        <f aca="false">Datos_Consumo!O7</f>
        <v>315</v>
      </c>
    </row>
    <row r="8" customFormat="false" ht="15" hidden="false" customHeight="false" outlineLevel="0" collapsed="false">
      <c r="A8" s="20" t="n">
        <f aca="false">Datos_Consumo!A8</f>
        <v>46143</v>
      </c>
      <c r="B8" s="21" t="str">
        <f aca="false">Datos_Consumo!B8</f>
        <v>2026-05</v>
      </c>
      <c r="C8" s="21" t="str">
        <f aca="false">Datos_Consumo!C8</f>
        <v>Suscripción Producción</v>
      </c>
      <c r="D8" s="21" t="str">
        <f aca="false">Datos_Consumo!D8</f>
        <v>6f1a2b3c-0001</v>
      </c>
      <c r="E8" s="21" t="str">
        <f aca="false">Datos_Consumo!E8</f>
        <v>Networking</v>
      </c>
      <c r="F8" s="21" t="str">
        <f aca="false">Datos_Consumo!F8</f>
        <v>Networking</v>
      </c>
      <c r="G8" s="21" t="str">
        <f aca="false">Datos_Consumo!G8</f>
        <v>Load Balancer</v>
      </c>
      <c r="H8" s="21" t="str">
        <f aca="false">Datos_Consumo!H8</f>
        <v>Standard LB</v>
      </c>
      <c r="I8" s="21" t="str">
        <f aca="false">Datos_Consumo!I8</f>
        <v>lb-ruv-prod</v>
      </c>
      <c r="J8" s="21" t="str">
        <f aca="false">Datos_Consumo!J8</f>
        <v>i-0006</v>
      </c>
      <c r="K8" s="21" t="str">
        <f aca="false">Datos_Consumo!K8</f>
        <v>rg-produccion</v>
      </c>
      <c r="L8" s="21" t="str">
        <f aca="false">Datos_Consumo!L8</f>
        <v>East US</v>
      </c>
      <c r="M8" s="21" t="str">
        <f aca="false">Datos_Consumo!M8</f>
        <v>Hours</v>
      </c>
      <c r="N8" s="22" t="n">
        <f aca="false">Datos_Consumo!N8</f>
        <v>720</v>
      </c>
      <c r="O8" s="23" t="n">
        <f aca="false">Datos_Consumo!O8</f>
        <v>18.3</v>
      </c>
    </row>
    <row r="9" customFormat="false" ht="15" hidden="false" customHeight="false" outlineLevel="0" collapsed="false">
      <c r="A9" s="20" t="n">
        <f aca="false">Datos_Consumo!A9</f>
        <v>46143</v>
      </c>
      <c r="B9" s="21" t="str">
        <f aca="false">Datos_Consumo!B9</f>
        <v>2026-05</v>
      </c>
      <c r="C9" s="21" t="str">
        <f aca="false">Datos_Consumo!C9</f>
        <v>Suscripción Desarrollo</v>
      </c>
      <c r="D9" s="21" t="str">
        <f aca="false">Datos_Consumo!D9</f>
        <v>6f1a2b3c-0002</v>
      </c>
      <c r="E9" s="21" t="str">
        <f aca="false">Datos_Consumo!E9</f>
        <v>Virtual Machines</v>
      </c>
      <c r="F9" s="21" t="str">
        <f aca="false">Datos_Consumo!F9</f>
        <v>Compute</v>
      </c>
      <c r="G9" s="21" t="str">
        <f aca="false">Datos_Consumo!G9</f>
        <v>Azure Virtual Machines</v>
      </c>
      <c r="H9" s="21" t="str">
        <f aca="false">Datos_Consumo!H9</f>
        <v>B2s</v>
      </c>
      <c r="I9" s="21" t="str">
        <f aca="false">Datos_Consumo!I9</f>
        <v>VM-RUV-DEV01</v>
      </c>
      <c r="J9" s="21" t="str">
        <f aca="false">Datos_Consumo!J9</f>
        <v>i-0007</v>
      </c>
      <c r="K9" s="21" t="str">
        <f aca="false">Datos_Consumo!K9</f>
        <v>rg-desarrollo</v>
      </c>
      <c r="L9" s="21" t="str">
        <f aca="false">Datos_Consumo!L9</f>
        <v>West US 2</v>
      </c>
      <c r="M9" s="21" t="str">
        <f aca="false">Datos_Consumo!M9</f>
        <v>Hours</v>
      </c>
      <c r="N9" s="22" t="n">
        <f aca="false">Datos_Consumo!N9</f>
        <v>480</v>
      </c>
      <c r="O9" s="23" t="n">
        <f aca="false">Datos_Consumo!O9</f>
        <v>22.1</v>
      </c>
    </row>
    <row r="10" customFormat="false" ht="15" hidden="false" customHeight="false" outlineLevel="0" collapsed="false">
      <c r="A10" s="20" t="n">
        <f aca="false">Datos_Consumo!A10</f>
        <v>46143</v>
      </c>
      <c r="B10" s="21" t="str">
        <f aca="false">Datos_Consumo!B10</f>
        <v>2026-05</v>
      </c>
      <c r="C10" s="21" t="str">
        <f aca="false">Datos_Consumo!C10</f>
        <v>Suscripción Desarrollo</v>
      </c>
      <c r="D10" s="21" t="str">
        <f aca="false">Datos_Consumo!D10</f>
        <v>6f1a2b3c-0002</v>
      </c>
      <c r="E10" s="21" t="str">
        <f aca="false">Datos_Consumo!E10</f>
        <v>App Service</v>
      </c>
      <c r="F10" s="21" t="str">
        <f aca="false">Datos_Consumo!F10</f>
        <v>Web</v>
      </c>
      <c r="G10" s="21" t="str">
        <f aca="false">Datos_Consumo!G10</f>
        <v>Azure App Service</v>
      </c>
      <c r="H10" s="21" t="str">
        <f aca="false">Datos_Consumo!H10</f>
        <v>P1v3</v>
      </c>
      <c r="I10" s="21" t="str">
        <f aca="false">Datos_Consumo!I10</f>
        <v>app-ruv-dev</v>
      </c>
      <c r="J10" s="21" t="str">
        <f aca="false">Datos_Consumo!J10</f>
        <v>i-0008</v>
      </c>
      <c r="K10" s="21" t="str">
        <f aca="false">Datos_Consumo!K10</f>
        <v>rg-desarrollo</v>
      </c>
      <c r="L10" s="21" t="str">
        <f aca="false">Datos_Consumo!L10</f>
        <v>West US 2</v>
      </c>
      <c r="M10" s="21" t="str">
        <f aca="false">Datos_Consumo!M10</f>
        <v>Hours</v>
      </c>
      <c r="N10" s="22" t="n">
        <f aca="false">Datos_Consumo!N10</f>
        <v>720</v>
      </c>
      <c r="O10" s="23" t="n">
        <f aca="false">Datos_Consumo!O10</f>
        <v>64.8</v>
      </c>
    </row>
    <row r="11" customFormat="false" ht="15" hidden="false" customHeight="false" outlineLevel="0" collapsed="false">
      <c r="A11" s="20" t="n">
        <f aca="false">Datos_Consumo!A11</f>
        <v>46143</v>
      </c>
      <c r="B11" s="21" t="str">
        <f aca="false">Datos_Consumo!B11</f>
        <v>2026-05</v>
      </c>
      <c r="C11" s="21" t="str">
        <f aca="false">Datos_Consumo!C11</f>
        <v>Suscripción Desarrollo</v>
      </c>
      <c r="D11" s="21" t="str">
        <f aca="false">Datos_Consumo!D11</f>
        <v>6f1a2b3c-0002</v>
      </c>
      <c r="E11" s="21" t="str">
        <f aca="false">Datos_Consumo!E11</f>
        <v>Storage</v>
      </c>
      <c r="F11" s="21" t="str">
        <f aca="false">Datos_Consumo!F11</f>
        <v>Storage</v>
      </c>
      <c r="G11" s="21" t="str">
        <f aca="false">Datos_Consumo!G11</f>
        <v>Storage Accounts</v>
      </c>
      <c r="H11" s="21" t="str">
        <f aca="false">Datos_Consumo!H11</f>
        <v>Blob Storage (LRS)</v>
      </c>
      <c r="I11" s="21" t="str">
        <f aca="false">Datos_Consumo!I11</f>
        <v>stgruvdev01</v>
      </c>
      <c r="J11" s="21" t="str">
        <f aca="false">Datos_Consumo!J11</f>
        <v>i-0009</v>
      </c>
      <c r="K11" s="21" t="str">
        <f aca="false">Datos_Consumo!K11</f>
        <v>rg-desarrollo</v>
      </c>
      <c r="L11" s="21" t="str">
        <f aca="false">Datos_Consumo!L11</f>
        <v>West US 2</v>
      </c>
      <c r="M11" s="21" t="str">
        <f aca="false">Datos_Consumo!M11</f>
        <v>GB</v>
      </c>
      <c r="N11" s="22" t="n">
        <f aca="false">Datos_Consumo!N11</f>
        <v>512</v>
      </c>
      <c r="O11" s="23" t="n">
        <f aca="false">Datos_Consumo!O11</f>
        <v>11.8</v>
      </c>
    </row>
    <row r="12" customFormat="false" ht="15" hidden="false" customHeight="false" outlineLevel="0" collapsed="false">
      <c r="A12" s="20" t="n">
        <f aca="false">Datos_Consumo!A12</f>
        <v>46174</v>
      </c>
      <c r="B12" s="21" t="str">
        <f aca="false">Datos_Consumo!B12</f>
        <v>2026-06</v>
      </c>
      <c r="C12" s="21" t="str">
        <f aca="false">Datos_Consumo!C12</f>
        <v>Suscripción Producción</v>
      </c>
      <c r="D12" s="21" t="str">
        <f aca="false">Datos_Consumo!D12</f>
        <v>6f1a2b3c-0001</v>
      </c>
      <c r="E12" s="21" t="str">
        <f aca="false">Datos_Consumo!E12</f>
        <v>Virtual Machines</v>
      </c>
      <c r="F12" s="21" t="str">
        <f aca="false">Datos_Consumo!F12</f>
        <v>Compute</v>
      </c>
      <c r="G12" s="21" t="str">
        <f aca="false">Datos_Consumo!G12</f>
        <v>Azure Virtual Machines</v>
      </c>
      <c r="H12" s="21" t="str">
        <f aca="false">Datos_Consumo!H12</f>
        <v>D4s v5</v>
      </c>
      <c r="I12" s="21" t="str">
        <f aca="false">Datos_Consumo!I12</f>
        <v>VM-RUV-APP01</v>
      </c>
      <c r="J12" s="21" t="str">
        <f aca="false">Datos_Consumo!J12</f>
        <v>i-0001</v>
      </c>
      <c r="K12" s="21" t="str">
        <f aca="false">Datos_Consumo!K12</f>
        <v>rg-produccion</v>
      </c>
      <c r="L12" s="21" t="str">
        <f aca="false">Datos_Consumo!L12</f>
        <v>East US</v>
      </c>
      <c r="M12" s="21" t="str">
        <f aca="false">Datos_Consumo!M12</f>
        <v>Hours</v>
      </c>
      <c r="N12" s="22" t="n">
        <f aca="false">Datos_Consumo!N12</f>
        <v>720</v>
      </c>
      <c r="O12" s="23" t="n">
        <f aca="false">Datos_Consumo!O12</f>
        <v>188.6</v>
      </c>
    </row>
    <row r="13" customFormat="false" ht="15" hidden="false" customHeight="false" outlineLevel="0" collapsed="false">
      <c r="A13" s="20" t="n">
        <f aca="false">Datos_Consumo!A13</f>
        <v>46174</v>
      </c>
      <c r="B13" s="21" t="str">
        <f aca="false">Datos_Consumo!B13</f>
        <v>2026-06</v>
      </c>
      <c r="C13" s="21" t="str">
        <f aca="false">Datos_Consumo!C13</f>
        <v>Suscripción Producción</v>
      </c>
      <c r="D13" s="21" t="str">
        <f aca="false">Datos_Consumo!D13</f>
        <v>6f1a2b3c-0001</v>
      </c>
      <c r="E13" s="21" t="str">
        <f aca="false">Datos_Consumo!E13</f>
        <v>Virtual Machines</v>
      </c>
      <c r="F13" s="21" t="str">
        <f aca="false">Datos_Consumo!F13</f>
        <v>Compute</v>
      </c>
      <c r="G13" s="21" t="str">
        <f aca="false">Datos_Consumo!G13</f>
        <v>Azure Virtual Machines</v>
      </c>
      <c r="H13" s="21" t="str">
        <f aca="false">Datos_Consumo!H13</f>
        <v>D2s v5</v>
      </c>
      <c r="I13" s="21" t="str">
        <f aca="false">Datos_Consumo!I13</f>
        <v>VM-RUV-APP02</v>
      </c>
      <c r="J13" s="21" t="str">
        <f aca="false">Datos_Consumo!J13</f>
        <v>i-0002</v>
      </c>
      <c r="K13" s="21" t="str">
        <f aca="false">Datos_Consumo!K13</f>
        <v>rg-produccion</v>
      </c>
      <c r="L13" s="21" t="str">
        <f aca="false">Datos_Consumo!L13</f>
        <v>East US</v>
      </c>
      <c r="M13" s="21" t="str">
        <f aca="false">Datos_Consumo!M13</f>
        <v>Hours</v>
      </c>
      <c r="N13" s="22" t="n">
        <f aca="false">Datos_Consumo!N13</f>
        <v>720</v>
      </c>
      <c r="O13" s="23" t="n">
        <f aca="false">Datos_Consumo!O13</f>
        <v>93.8</v>
      </c>
    </row>
    <row r="14" customFormat="false" ht="15" hidden="false" customHeight="false" outlineLevel="0" collapsed="false">
      <c r="A14" s="20" t="n">
        <f aca="false">Datos_Consumo!A14</f>
        <v>46174</v>
      </c>
      <c r="B14" s="21" t="str">
        <f aca="false">Datos_Consumo!B14</f>
        <v>2026-06</v>
      </c>
      <c r="C14" s="21" t="str">
        <f aca="false">Datos_Consumo!C14</f>
        <v>Suscripción Producción</v>
      </c>
      <c r="D14" s="21" t="str">
        <f aca="false">Datos_Consumo!D14</f>
        <v>6f1a2b3c-0001</v>
      </c>
      <c r="E14" s="21" t="str">
        <f aca="false">Datos_Consumo!E14</f>
        <v>Virtual Machines</v>
      </c>
      <c r="F14" s="21" t="str">
        <f aca="false">Datos_Consumo!F14</f>
        <v>Compute</v>
      </c>
      <c r="G14" s="21" t="str">
        <f aca="false">Datos_Consumo!G14</f>
        <v>Azure Virtual Machines</v>
      </c>
      <c r="H14" s="21" t="str">
        <f aca="false">Datos_Consumo!H14</f>
        <v>B2ms</v>
      </c>
      <c r="I14" s="21" t="str">
        <f aca="false">Datos_Consumo!I14</f>
        <v>VM-RUV-WEB01</v>
      </c>
      <c r="J14" s="21" t="str">
        <f aca="false">Datos_Consumo!J14</f>
        <v>i-0003</v>
      </c>
      <c r="K14" s="21" t="str">
        <f aca="false">Datos_Consumo!K14</f>
        <v>rg-produccion</v>
      </c>
      <c r="L14" s="21" t="str">
        <f aca="false">Datos_Consumo!L14</f>
        <v>West Europe</v>
      </c>
      <c r="M14" s="21" t="str">
        <f aca="false">Datos_Consumo!M14</f>
        <v>Hours</v>
      </c>
      <c r="N14" s="22" t="n">
        <f aca="false">Datos_Consumo!N14</f>
        <v>720</v>
      </c>
      <c r="O14" s="23" t="n">
        <f aca="false">Datos_Consumo!O14</f>
        <v>55.9</v>
      </c>
    </row>
    <row r="15" customFormat="false" ht="15" hidden="false" customHeight="false" outlineLevel="0" collapsed="false">
      <c r="A15" s="20" t="n">
        <f aca="false">Datos_Consumo!A15</f>
        <v>46174</v>
      </c>
      <c r="B15" s="21" t="str">
        <f aca="false">Datos_Consumo!B15</f>
        <v>2026-06</v>
      </c>
      <c r="C15" s="21" t="str">
        <f aca="false">Datos_Consumo!C15</f>
        <v>Suscripción Producción</v>
      </c>
      <c r="D15" s="21" t="str">
        <f aca="false">Datos_Consumo!D15</f>
        <v>6f1a2b3c-0001</v>
      </c>
      <c r="E15" s="21" t="str">
        <f aca="false">Datos_Consumo!E15</f>
        <v>Storage</v>
      </c>
      <c r="F15" s="21" t="str">
        <f aca="false">Datos_Consumo!F15</f>
        <v>Storage</v>
      </c>
      <c r="G15" s="21" t="str">
        <f aca="false">Datos_Consumo!G15</f>
        <v>Storage Accounts</v>
      </c>
      <c r="H15" s="21" t="str">
        <f aca="false">Datos_Consumo!H15</f>
        <v>Blob Storage (LRS)</v>
      </c>
      <c r="I15" s="21" t="str">
        <f aca="false">Datos_Consumo!I15</f>
        <v>stgruvprod01</v>
      </c>
      <c r="J15" s="21" t="str">
        <f aca="false">Datos_Consumo!J15</f>
        <v>i-0004</v>
      </c>
      <c r="K15" s="21" t="str">
        <f aca="false">Datos_Consumo!K15</f>
        <v>rg-produccion</v>
      </c>
      <c r="L15" s="21" t="str">
        <f aca="false">Datos_Consumo!L15</f>
        <v>East US</v>
      </c>
      <c r="M15" s="21" t="str">
        <f aca="false">Datos_Consumo!M15</f>
        <v>GB</v>
      </c>
      <c r="N15" s="22" t="n">
        <f aca="false">Datos_Consumo!N15</f>
        <v>2150</v>
      </c>
      <c r="O15" s="23" t="n">
        <f aca="false">Datos_Consumo!O15</f>
        <v>49.6</v>
      </c>
    </row>
    <row r="16" customFormat="false" ht="15" hidden="false" customHeight="false" outlineLevel="0" collapsed="false">
      <c r="A16" s="20" t="n">
        <f aca="false">Datos_Consumo!A16</f>
        <v>46174</v>
      </c>
      <c r="B16" s="21" t="str">
        <f aca="false">Datos_Consumo!B16</f>
        <v>2026-06</v>
      </c>
      <c r="C16" s="21" t="str">
        <f aca="false">Datos_Consumo!C16</f>
        <v>Suscripción Producción</v>
      </c>
      <c r="D16" s="21" t="str">
        <f aca="false">Datos_Consumo!D16</f>
        <v>6f1a2b3c-0001</v>
      </c>
      <c r="E16" s="21" t="str">
        <f aca="false">Datos_Consumo!E16</f>
        <v>Databases</v>
      </c>
      <c r="F16" s="21" t="str">
        <f aca="false">Datos_Consumo!F16</f>
        <v>Databases</v>
      </c>
      <c r="G16" s="21" t="str">
        <f aca="false">Datos_Consumo!G16</f>
        <v>Azure SQL Database</v>
      </c>
      <c r="H16" s="21" t="str">
        <f aca="false">Datos_Consumo!H16</f>
        <v>vCore, S3</v>
      </c>
      <c r="I16" s="21" t="str">
        <f aca="false">Datos_Consumo!I16</f>
        <v>sql-ruv-prod</v>
      </c>
      <c r="J16" s="21" t="str">
        <f aca="false">Datos_Consumo!J16</f>
        <v>i-0005</v>
      </c>
      <c r="K16" s="21" t="str">
        <f aca="false">Datos_Consumo!K16</f>
        <v>rg-produccion</v>
      </c>
      <c r="L16" s="21" t="str">
        <f aca="false">Datos_Consumo!L16</f>
        <v>East US</v>
      </c>
      <c r="M16" s="21" t="str">
        <f aca="false">Datos_Consumo!M16</f>
        <v>Hours</v>
      </c>
      <c r="N16" s="22" t="n">
        <f aca="false">Datos_Consumo!N16</f>
        <v>720</v>
      </c>
      <c r="O16" s="23" t="n">
        <f aca="false">Datos_Consumo!O16</f>
        <v>315</v>
      </c>
    </row>
    <row r="17" customFormat="false" ht="15" hidden="false" customHeight="false" outlineLevel="0" collapsed="false">
      <c r="A17" s="20" t="n">
        <f aca="false">Datos_Consumo!A17</f>
        <v>46174</v>
      </c>
      <c r="B17" s="21" t="str">
        <f aca="false">Datos_Consumo!B17</f>
        <v>2026-06</v>
      </c>
      <c r="C17" s="21" t="str">
        <f aca="false">Datos_Consumo!C17</f>
        <v>Suscripción Producción</v>
      </c>
      <c r="D17" s="21" t="str">
        <f aca="false">Datos_Consumo!D17</f>
        <v>6f1a2b3c-0001</v>
      </c>
      <c r="E17" s="21" t="str">
        <f aca="false">Datos_Consumo!E17</f>
        <v>Networking</v>
      </c>
      <c r="F17" s="21" t="str">
        <f aca="false">Datos_Consumo!F17</f>
        <v>Networking</v>
      </c>
      <c r="G17" s="21" t="str">
        <f aca="false">Datos_Consumo!G17</f>
        <v>Load Balancer</v>
      </c>
      <c r="H17" s="21" t="str">
        <f aca="false">Datos_Consumo!H17</f>
        <v>Standard LB</v>
      </c>
      <c r="I17" s="21" t="str">
        <f aca="false">Datos_Consumo!I17</f>
        <v>lb-ruv-prod</v>
      </c>
      <c r="J17" s="21" t="str">
        <f aca="false">Datos_Consumo!J17</f>
        <v>i-0006</v>
      </c>
      <c r="K17" s="21" t="str">
        <f aca="false">Datos_Consumo!K17</f>
        <v>rg-produccion</v>
      </c>
      <c r="L17" s="21" t="str">
        <f aca="false">Datos_Consumo!L17</f>
        <v>East US</v>
      </c>
      <c r="M17" s="21" t="str">
        <f aca="false">Datos_Consumo!M17</f>
        <v>Hours</v>
      </c>
      <c r="N17" s="22" t="n">
        <f aca="false">Datos_Consumo!N17</f>
        <v>720</v>
      </c>
      <c r="O17" s="23" t="n">
        <f aca="false">Datos_Consumo!O17</f>
        <v>18.3</v>
      </c>
    </row>
    <row r="18" customFormat="false" ht="15" hidden="false" customHeight="false" outlineLevel="0" collapsed="false">
      <c r="A18" s="20" t="n">
        <f aca="false">Datos_Consumo!A18</f>
        <v>46174</v>
      </c>
      <c r="B18" s="21" t="str">
        <f aca="false">Datos_Consumo!B18</f>
        <v>2026-06</v>
      </c>
      <c r="C18" s="21" t="str">
        <f aca="false">Datos_Consumo!C18</f>
        <v>Suscripción Desarrollo</v>
      </c>
      <c r="D18" s="21" t="str">
        <f aca="false">Datos_Consumo!D18</f>
        <v>6f1a2b3c-0002</v>
      </c>
      <c r="E18" s="21" t="str">
        <f aca="false">Datos_Consumo!E18</f>
        <v>Virtual Machines</v>
      </c>
      <c r="F18" s="21" t="str">
        <f aca="false">Datos_Consumo!F18</f>
        <v>Compute</v>
      </c>
      <c r="G18" s="21" t="str">
        <f aca="false">Datos_Consumo!G18</f>
        <v>Azure Virtual Machines</v>
      </c>
      <c r="H18" s="21" t="str">
        <f aca="false">Datos_Consumo!H18</f>
        <v>B2s</v>
      </c>
      <c r="I18" s="21" t="str">
        <f aca="false">Datos_Consumo!I18</f>
        <v>VM-RUV-DEV01</v>
      </c>
      <c r="J18" s="21" t="str">
        <f aca="false">Datos_Consumo!J18</f>
        <v>i-0007</v>
      </c>
      <c r="K18" s="21" t="str">
        <f aca="false">Datos_Consumo!K18</f>
        <v>rg-desarrollo</v>
      </c>
      <c r="L18" s="21" t="str">
        <f aca="false">Datos_Consumo!L18</f>
        <v>West US 2</v>
      </c>
      <c r="M18" s="21" t="str">
        <f aca="false">Datos_Consumo!M18</f>
        <v>Hours</v>
      </c>
      <c r="N18" s="22" t="n">
        <f aca="false">Datos_Consumo!N18</f>
        <v>480</v>
      </c>
      <c r="O18" s="23" t="n">
        <f aca="false">Datos_Consumo!O18</f>
        <v>22.9</v>
      </c>
    </row>
    <row r="19" customFormat="false" ht="15" hidden="false" customHeight="false" outlineLevel="0" collapsed="false">
      <c r="A19" s="20" t="n">
        <f aca="false">Datos_Consumo!A19</f>
        <v>46174</v>
      </c>
      <c r="B19" s="21" t="str">
        <f aca="false">Datos_Consumo!B19</f>
        <v>2026-06</v>
      </c>
      <c r="C19" s="21" t="str">
        <f aca="false">Datos_Consumo!C19</f>
        <v>Suscripción Desarrollo</v>
      </c>
      <c r="D19" s="21" t="str">
        <f aca="false">Datos_Consumo!D19</f>
        <v>6f1a2b3c-0002</v>
      </c>
      <c r="E19" s="21" t="str">
        <f aca="false">Datos_Consumo!E19</f>
        <v>App Service</v>
      </c>
      <c r="F19" s="21" t="str">
        <f aca="false">Datos_Consumo!F19</f>
        <v>Web</v>
      </c>
      <c r="G19" s="21" t="str">
        <f aca="false">Datos_Consumo!G19</f>
        <v>Azure App Service</v>
      </c>
      <c r="H19" s="21" t="str">
        <f aca="false">Datos_Consumo!H19</f>
        <v>P1v3</v>
      </c>
      <c r="I19" s="21" t="str">
        <f aca="false">Datos_Consumo!I19</f>
        <v>app-ruv-dev</v>
      </c>
      <c r="J19" s="21" t="str">
        <f aca="false">Datos_Consumo!J19</f>
        <v>i-0008</v>
      </c>
      <c r="K19" s="21" t="str">
        <f aca="false">Datos_Consumo!K19</f>
        <v>rg-desarrollo</v>
      </c>
      <c r="L19" s="21" t="str">
        <f aca="false">Datos_Consumo!L19</f>
        <v>West US 2</v>
      </c>
      <c r="M19" s="21" t="str">
        <f aca="false">Datos_Consumo!M19</f>
        <v>Hours</v>
      </c>
      <c r="N19" s="22" t="n">
        <f aca="false">Datos_Consumo!N19</f>
        <v>720</v>
      </c>
      <c r="O19" s="23" t="n">
        <f aca="false">Datos_Consumo!O19</f>
        <v>64.8</v>
      </c>
    </row>
    <row r="20" customFormat="false" ht="15" hidden="false" customHeight="false" outlineLevel="0" collapsed="false">
      <c r="A20" s="20" t="n">
        <f aca="false">Datos_Consumo!A20</f>
        <v>46174</v>
      </c>
      <c r="B20" s="21" t="str">
        <f aca="false">Datos_Consumo!B20</f>
        <v>2026-06</v>
      </c>
      <c r="C20" s="21" t="str">
        <f aca="false">Datos_Consumo!C20</f>
        <v>Suscripción Desarrollo</v>
      </c>
      <c r="D20" s="21" t="str">
        <f aca="false">Datos_Consumo!D20</f>
        <v>6f1a2b3c-0002</v>
      </c>
      <c r="E20" s="21" t="str">
        <f aca="false">Datos_Consumo!E20</f>
        <v>Storage</v>
      </c>
      <c r="F20" s="21" t="str">
        <f aca="false">Datos_Consumo!F20</f>
        <v>Storage</v>
      </c>
      <c r="G20" s="21" t="str">
        <f aca="false">Datos_Consumo!G20</f>
        <v>Storage Accounts</v>
      </c>
      <c r="H20" s="21" t="str">
        <f aca="false">Datos_Consumo!H20</f>
        <v>Blob Storage (LRS)</v>
      </c>
      <c r="I20" s="21" t="str">
        <f aca="false">Datos_Consumo!I20</f>
        <v>stgruvdev01</v>
      </c>
      <c r="J20" s="21" t="str">
        <f aca="false">Datos_Consumo!J20</f>
        <v>i-0009</v>
      </c>
      <c r="K20" s="21" t="str">
        <f aca="false">Datos_Consumo!K20</f>
        <v>rg-desarrollo</v>
      </c>
      <c r="L20" s="21" t="str">
        <f aca="false">Datos_Consumo!L20</f>
        <v>West US 2</v>
      </c>
      <c r="M20" s="21" t="str">
        <f aca="false">Datos_Consumo!M20</f>
        <v>GB</v>
      </c>
      <c r="N20" s="22" t="n">
        <f aca="false">Datos_Consumo!N20</f>
        <v>560</v>
      </c>
      <c r="O20" s="23" t="n">
        <f aca="false">Datos_Consumo!O20</f>
        <v>12.9</v>
      </c>
    </row>
    <row r="21" customFormat="false" ht="15" hidden="false" customHeight="false" outlineLevel="0" collapsed="false">
      <c r="A21" s="20" t="n">
        <f aca="false">Datos_Consumo!A21</f>
        <v>46174</v>
      </c>
      <c r="B21" s="21" t="str">
        <f aca="false">Datos_Consumo!B21</f>
        <v>2026-06</v>
      </c>
      <c r="C21" s="21" t="str">
        <f aca="false">Datos_Consumo!C21</f>
        <v>Suscripción Producción</v>
      </c>
      <c r="D21" s="21" t="str">
        <f aca="false">Datos_Consumo!D21</f>
        <v>6f1a2b3c-0001</v>
      </c>
      <c r="E21" s="21" t="str">
        <f aca="false">Datos_Consumo!E21</f>
        <v>Networking</v>
      </c>
      <c r="F21" s="21" t="str">
        <f aca="false">Datos_Consumo!F21</f>
        <v>Networking</v>
      </c>
      <c r="G21" s="21" t="str">
        <f aca="false">Datos_Consumo!G21</f>
        <v>VPN Gateway</v>
      </c>
      <c r="H21" s="21" t="str">
        <f aca="false">Datos_Consumo!H21</f>
        <v>VpnGw1</v>
      </c>
      <c r="I21" s="21" t="str">
        <f aca="false">Datos_Consumo!I21</f>
        <v>vpngw-ruv-prod</v>
      </c>
      <c r="J21" s="21" t="str">
        <f aca="false">Datos_Consumo!J21</f>
        <v>i-0010</v>
      </c>
      <c r="K21" s="21" t="str">
        <f aca="false">Datos_Consumo!K21</f>
        <v>rg-produccion</v>
      </c>
      <c r="L21" s="21" t="str">
        <f aca="false">Datos_Consumo!L21</f>
        <v>East US</v>
      </c>
      <c r="M21" s="21" t="str">
        <f aca="false">Datos_Consumo!M21</f>
        <v>Hours</v>
      </c>
      <c r="N21" s="22" t="n">
        <f aca="false">Datos_Consumo!N21</f>
        <v>720</v>
      </c>
      <c r="O21" s="23" t="n">
        <f aca="false">Datos_Consumo!O21</f>
        <v>138.2</v>
      </c>
    </row>
    <row r="22" customFormat="false" ht="15" hidden="false" customHeight="false" outlineLevel="0" collapsed="false">
      <c r="A22" s="20" t="n">
        <f aca="false">Datos_Consumo!A22</f>
        <v>46174</v>
      </c>
      <c r="B22" s="21" t="str">
        <f aca="false">Datos_Consumo!B22</f>
        <v>2026-06</v>
      </c>
      <c r="C22" s="21" t="str">
        <f aca="false">Datos_Consumo!C22</f>
        <v>Suscripción Producción</v>
      </c>
      <c r="D22" s="21" t="str">
        <f aca="false">Datos_Consumo!D22</f>
        <v>6f1a2b3c-0001</v>
      </c>
      <c r="E22" s="21" t="str">
        <f aca="false">Datos_Consumo!E22</f>
        <v>Virtual Machines</v>
      </c>
      <c r="F22" s="21" t="str">
        <f aca="false">Datos_Consumo!F22</f>
        <v>Compute</v>
      </c>
      <c r="G22" s="21" t="str">
        <f aca="false">Datos_Consumo!G22</f>
        <v>Azure Virtual Machines</v>
      </c>
      <c r="H22" s="21" t="str">
        <f aca="false">Datos_Consumo!H22</f>
        <v>D8s v5</v>
      </c>
      <c r="I22" s="21" t="str">
        <f aca="false">Datos_Consumo!I22</f>
        <v>VM-RUV-DB01</v>
      </c>
      <c r="J22" s="21" t="str">
        <f aca="false">Datos_Consumo!J22</f>
        <v>i-0011</v>
      </c>
      <c r="K22" s="21" t="str">
        <f aca="false">Datos_Consumo!K22</f>
        <v>rg-produccion</v>
      </c>
      <c r="L22" s="21" t="str">
        <f aca="false">Datos_Consumo!L22</f>
        <v>East US</v>
      </c>
      <c r="M22" s="21" t="str">
        <f aca="false">Datos_Consumo!M22</f>
        <v>Hours</v>
      </c>
      <c r="N22" s="22" t="n">
        <f aca="false">Datos_Consumo!N22</f>
        <v>720</v>
      </c>
      <c r="O22" s="23" t="n">
        <f aca="false">Datos_Consumo!O22</f>
        <v>365.8</v>
      </c>
    </row>
    <row r="23" customFormat="false" ht="15" hidden="false" customHeight="false" outlineLevel="0" collapsed="false">
      <c r="A23" s="20" t="n">
        <f aca="false">Datos_Consumo!A23</f>
        <v>46204</v>
      </c>
      <c r="B23" s="21" t="str">
        <f aca="false">Datos_Consumo!B23</f>
        <v>2026-07</v>
      </c>
      <c r="C23" s="21" t="str">
        <f aca="false">Datos_Consumo!C23</f>
        <v>Suscripción Producción</v>
      </c>
      <c r="D23" s="21" t="str">
        <f aca="false">Datos_Consumo!D23</f>
        <v>6f1a2b3c-0001</v>
      </c>
      <c r="E23" s="21" t="str">
        <f aca="false">Datos_Consumo!E23</f>
        <v>Virtual Machines</v>
      </c>
      <c r="F23" s="21" t="str">
        <f aca="false">Datos_Consumo!F23</f>
        <v>Compute</v>
      </c>
      <c r="G23" s="21" t="str">
        <f aca="false">Datos_Consumo!G23</f>
        <v>Azure Virtual Machines</v>
      </c>
      <c r="H23" s="21" t="str">
        <f aca="false">Datos_Consumo!H23</f>
        <v>D4s v5</v>
      </c>
      <c r="I23" s="21" t="str">
        <f aca="false">Datos_Consumo!I23</f>
        <v>VM-RUV-APP01</v>
      </c>
      <c r="J23" s="21" t="str">
        <f aca="false">Datos_Consumo!J23</f>
        <v>i-0001</v>
      </c>
      <c r="K23" s="21" t="str">
        <f aca="false">Datos_Consumo!K23</f>
        <v>rg-produccion</v>
      </c>
      <c r="L23" s="21" t="str">
        <f aca="false">Datos_Consumo!L23</f>
        <v>East US</v>
      </c>
      <c r="M23" s="21" t="str">
        <f aca="false">Datos_Consumo!M23</f>
        <v>Hours</v>
      </c>
      <c r="N23" s="22" t="n">
        <f aca="false">Datos_Consumo!N23</f>
        <v>504</v>
      </c>
      <c r="O23" s="23" t="n">
        <f aca="false">Datos_Consumo!O23</f>
        <v>132</v>
      </c>
    </row>
    <row r="24" customFormat="false" ht="15" hidden="false" customHeight="false" outlineLevel="0" collapsed="false">
      <c r="A24" s="20" t="n">
        <f aca="false">Datos_Consumo!A24</f>
        <v>46204</v>
      </c>
      <c r="B24" s="21" t="str">
        <f aca="false">Datos_Consumo!B24</f>
        <v>2026-07</v>
      </c>
      <c r="C24" s="21" t="str">
        <f aca="false">Datos_Consumo!C24</f>
        <v>Suscripción Producción</v>
      </c>
      <c r="D24" s="21" t="str">
        <f aca="false">Datos_Consumo!D24</f>
        <v>6f1a2b3c-0001</v>
      </c>
      <c r="E24" s="21" t="str">
        <f aca="false">Datos_Consumo!E24</f>
        <v>Databases</v>
      </c>
      <c r="F24" s="21" t="str">
        <f aca="false">Datos_Consumo!F24</f>
        <v>Databases</v>
      </c>
      <c r="G24" s="21" t="str">
        <f aca="false">Datos_Consumo!G24</f>
        <v>Azure SQL Database</v>
      </c>
      <c r="H24" s="21" t="str">
        <f aca="false">Datos_Consumo!H24</f>
        <v>vCore, S3</v>
      </c>
      <c r="I24" s="21" t="str">
        <f aca="false">Datos_Consumo!I24</f>
        <v>sql-ruv-prod</v>
      </c>
      <c r="J24" s="21" t="str">
        <f aca="false">Datos_Consumo!J24</f>
        <v>i-0005</v>
      </c>
      <c r="K24" s="21" t="str">
        <f aca="false">Datos_Consumo!K24</f>
        <v>rg-produccion</v>
      </c>
      <c r="L24" s="21" t="str">
        <f aca="false">Datos_Consumo!L24</f>
        <v>East US</v>
      </c>
      <c r="M24" s="21" t="str">
        <f aca="false">Datos_Consumo!M24</f>
        <v>Hours</v>
      </c>
      <c r="N24" s="22" t="n">
        <f aca="false">Datos_Consumo!N24</f>
        <v>504</v>
      </c>
      <c r="O24" s="23" t="n">
        <f aca="false">Datos_Consumo!O24</f>
        <v>220.5</v>
      </c>
    </row>
    <row r="25" customFormat="false" ht="15" hidden="false" customHeight="false" outlineLevel="0" collapsed="false">
      <c r="A25" s="20" t="n">
        <f aca="false">Datos_Consumo!A25</f>
        <v>46204</v>
      </c>
      <c r="B25" s="21" t="str">
        <f aca="false">Datos_Consumo!B25</f>
        <v>2026-07</v>
      </c>
      <c r="C25" s="21" t="str">
        <f aca="false">Datos_Consumo!C25</f>
        <v>Suscripción Desarrollo</v>
      </c>
      <c r="D25" s="21" t="str">
        <f aca="false">Datos_Consumo!D25</f>
        <v>6f1a2b3c-0002</v>
      </c>
      <c r="E25" s="21" t="str">
        <f aca="false">Datos_Consumo!E25</f>
        <v>App Service</v>
      </c>
      <c r="F25" s="21" t="str">
        <f aca="false">Datos_Consumo!F25</f>
        <v>Web</v>
      </c>
      <c r="G25" s="21" t="str">
        <f aca="false">Datos_Consumo!G25</f>
        <v>Azure App Service</v>
      </c>
      <c r="H25" s="21" t="str">
        <f aca="false">Datos_Consumo!H25</f>
        <v>P1v3</v>
      </c>
      <c r="I25" s="21" t="str">
        <f aca="false">Datos_Consumo!I25</f>
        <v>app-ruv-dev</v>
      </c>
      <c r="J25" s="21" t="str">
        <f aca="false">Datos_Consumo!J25</f>
        <v>i-0008</v>
      </c>
      <c r="K25" s="21" t="str">
        <f aca="false">Datos_Consumo!K25</f>
        <v>rg-desarrollo</v>
      </c>
      <c r="L25" s="21" t="str">
        <f aca="false">Datos_Consumo!L25</f>
        <v>West US 2</v>
      </c>
      <c r="M25" s="21" t="str">
        <f aca="false">Datos_Consumo!M25</f>
        <v>Hours</v>
      </c>
      <c r="N25" s="22" t="n">
        <f aca="false">Datos_Consumo!N25</f>
        <v>504</v>
      </c>
      <c r="O25" s="23" t="n">
        <f aca="false">Datos_Consumo!O25</f>
        <v>45.4</v>
      </c>
    </row>
    <row r="26" customFormat="false" ht="15" hidden="false" customHeight="false" outlineLevel="0" collapsed="false">
      <c r="A26" s="20" t="n">
        <f aca="false">Datos_Consumo!A26</f>
        <v>46204</v>
      </c>
      <c r="B26" s="21" t="str">
        <f aca="false">Datos_Consumo!B26</f>
        <v>2026-07</v>
      </c>
      <c r="C26" s="21" t="str">
        <f aca="false">Datos_Consumo!C26</f>
        <v>Suscripción Producción</v>
      </c>
      <c r="D26" s="21" t="str">
        <f aca="false">Datos_Consumo!D26</f>
        <v>6f1a2b3c-0001</v>
      </c>
      <c r="E26" s="21" t="str">
        <f aca="false">Datos_Consumo!E26</f>
        <v>Virtual Machines</v>
      </c>
      <c r="F26" s="21" t="str">
        <f aca="false">Datos_Consumo!F26</f>
        <v>Compute</v>
      </c>
      <c r="G26" s="21" t="str">
        <f aca="false">Datos_Consumo!G26</f>
        <v>Azure Virtual Machines</v>
      </c>
      <c r="H26" s="21" t="str">
        <f aca="false">Datos_Consumo!H26</f>
        <v>D8s v5</v>
      </c>
      <c r="I26" s="21" t="str">
        <f aca="false">Datos_Consumo!I26</f>
        <v>VM-RUV-DB01</v>
      </c>
      <c r="J26" s="21" t="str">
        <f aca="false">Datos_Consumo!J26</f>
        <v>i-0011</v>
      </c>
      <c r="K26" s="21" t="str">
        <f aca="false">Datos_Consumo!K26</f>
        <v>rg-produccion</v>
      </c>
      <c r="L26" s="21" t="str">
        <f aca="false">Datos_Consumo!L26</f>
        <v>East US</v>
      </c>
      <c r="M26" s="21" t="str">
        <f aca="false">Datos_Consumo!M26</f>
        <v>Hours</v>
      </c>
      <c r="N26" s="22" t="n">
        <f aca="false">Datos_Consumo!N26</f>
        <v>504</v>
      </c>
      <c r="O26" s="23" t="n">
        <f aca="false">Datos_Consumo!O26</f>
        <v>256</v>
      </c>
    </row>
  </sheetData>
  <autoFilter ref="A2:O26"/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5"/>
  </cols>
  <sheetData>
    <row r="2" customFormat="false" ht="19.7" hidden="false" customHeight="false" outlineLevel="0" collapsed="false">
      <c r="B2" s="24" t="s">
        <v>129</v>
      </c>
      <c r="C2" s="24"/>
    </row>
    <row r="3" customFormat="false" ht="15" hidden="false" customHeight="false" outlineLevel="0" collapsed="false">
      <c r="B3" s="25" t="s">
        <v>130</v>
      </c>
      <c r="C3" s="25"/>
    </row>
    <row r="5" customFormat="false" ht="15" hidden="false" customHeight="false" outlineLevel="0" collapsed="false">
      <c r="B5" s="26" t="s">
        <v>131</v>
      </c>
      <c r="C5" s="26"/>
    </row>
    <row r="6" customFormat="false" ht="15" hidden="false" customHeight="false" outlineLevel="0" collapsed="false">
      <c r="B6" s="27" t="s">
        <v>132</v>
      </c>
      <c r="C6" s="9"/>
    </row>
    <row r="7" customFormat="false" ht="15" hidden="false" customHeight="false" outlineLevel="0" collapsed="false">
      <c r="B7" s="27" t="s">
        <v>133</v>
      </c>
      <c r="C7" s="9"/>
    </row>
    <row r="8" customFormat="false" ht="15" hidden="false" customHeight="false" outlineLevel="0" collapsed="false">
      <c r="B8" s="27" t="s">
        <v>134</v>
      </c>
      <c r="C8" s="9"/>
    </row>
    <row r="9" customFormat="false" ht="15" hidden="false" customHeight="false" outlineLevel="0" collapsed="false">
      <c r="B9" s="27" t="s">
        <v>135</v>
      </c>
      <c r="C9" s="9"/>
    </row>
    <row r="10" customFormat="false" ht="15" hidden="false" customHeight="false" outlineLevel="0" collapsed="false">
      <c r="B10" s="27" t="s">
        <v>136</v>
      </c>
      <c r="C10" s="9" t="s">
        <v>137</v>
      </c>
    </row>
    <row r="11" customFormat="false" ht="15" hidden="false" customHeight="false" outlineLevel="0" collapsed="false">
      <c r="B11" s="27" t="s">
        <v>138</v>
      </c>
      <c r="C11" s="9" t="s">
        <v>139</v>
      </c>
    </row>
    <row r="13" customFormat="false" ht="15" hidden="false" customHeight="false" outlineLevel="0" collapsed="false">
      <c r="B13" s="28" t="s">
        <v>140</v>
      </c>
      <c r="C13" s="28"/>
    </row>
    <row r="15" customFormat="false" ht="15" hidden="false" customHeight="false" outlineLevel="0" collapsed="false">
      <c r="B15" s="16" t="s">
        <v>141</v>
      </c>
      <c r="C15" s="16"/>
    </row>
    <row r="16" customFormat="false" ht="15" hidden="false" customHeight="false" outlineLevel="0" collapsed="false">
      <c r="B16" s="29" t="s">
        <v>142</v>
      </c>
      <c r="C16" s="29"/>
    </row>
    <row r="17" customFormat="false" ht="15" hidden="false" customHeight="false" outlineLevel="0" collapsed="false">
      <c r="B17" s="29" t="s">
        <v>143</v>
      </c>
      <c r="C17" s="29"/>
    </row>
    <row r="18" customFormat="false" ht="15" hidden="false" customHeight="false" outlineLevel="0" collapsed="false">
      <c r="B18" s="29" t="s">
        <v>144</v>
      </c>
      <c r="C18" s="29"/>
    </row>
    <row r="19" customFormat="false" ht="15" hidden="false" customHeight="false" outlineLevel="0" collapsed="false">
      <c r="B19" s="29" t="s">
        <v>145</v>
      </c>
      <c r="C19" s="29"/>
    </row>
    <row r="20" customFormat="false" ht="15" hidden="false" customHeight="false" outlineLevel="0" collapsed="false">
      <c r="B20" s="29" t="s">
        <v>146</v>
      </c>
      <c r="C20" s="29"/>
    </row>
    <row r="21" customFormat="false" ht="15" hidden="false" customHeight="false" outlineLevel="0" collapsed="false">
      <c r="B21" s="29" t="s">
        <v>147</v>
      </c>
      <c r="C21" s="29"/>
    </row>
    <row r="22" customFormat="false" ht="15" hidden="false" customHeight="false" outlineLevel="0" collapsed="false">
      <c r="B22" s="29" t="s">
        <v>148</v>
      </c>
      <c r="C22" s="29"/>
    </row>
    <row r="23" customFormat="false" ht="15" hidden="false" customHeight="false" outlineLevel="0" collapsed="false">
      <c r="B23" s="29" t="s">
        <v>149</v>
      </c>
      <c r="C23" s="29"/>
    </row>
    <row r="24" customFormat="false" ht="15" hidden="false" customHeight="false" outlineLevel="0" collapsed="false">
      <c r="B24" s="29" t="s">
        <v>150</v>
      </c>
      <c r="C24" s="29"/>
    </row>
    <row r="25" customFormat="false" ht="15" hidden="false" customHeight="false" outlineLevel="0" collapsed="false">
      <c r="B25" s="29" t="s">
        <v>151</v>
      </c>
      <c r="C25" s="29"/>
    </row>
    <row r="26" customFormat="false" ht="15" hidden="false" customHeight="false" outlineLevel="0" collapsed="false">
      <c r="B26" s="29"/>
      <c r="C26" s="29"/>
    </row>
    <row r="27" customFormat="false" ht="15" hidden="false" customHeight="false" outlineLevel="0" collapsed="false">
      <c r="B27" s="29" t="s">
        <v>152</v>
      </c>
      <c r="C27" s="29"/>
    </row>
    <row r="28" customFormat="false" ht="15" hidden="false" customHeight="false" outlineLevel="0" collapsed="false">
      <c r="B28" s="29" t="s">
        <v>153</v>
      </c>
      <c r="C28" s="29"/>
    </row>
  </sheetData>
  <mergeCells count="18">
    <mergeCell ref="B2:C2"/>
    <mergeCell ref="B3:C3"/>
    <mergeCell ref="B5:C5"/>
    <mergeCell ref="B13:C13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2" customFormat="false" ht="19.7" hidden="false" customHeight="false" outlineLevel="0" collapsed="false">
      <c r="B2" s="1" t="s">
        <v>154</v>
      </c>
    </row>
    <row r="3" customFormat="false" ht="15" hidden="false" customHeight="false" outlineLevel="0" collapsed="false">
      <c r="B3" s="2" t="s">
        <v>155</v>
      </c>
    </row>
    <row r="5" customFormat="false" ht="619.5" hidden="false" customHeight="true" outlineLevel="0" collapsed="false">
      <c r="B5" s="30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2026-07-21T06:08:29Z</dcterms:created>
  <dc:creator>openpyxl</dc:creator>
  <dc:description/>
  <dc:language>en-US</dc:language>
  <cp:lastModifiedBy/>
  <dcterms:modified xsi:type="dcterms:W3CDTF">2026-07-21T06:08:30Z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