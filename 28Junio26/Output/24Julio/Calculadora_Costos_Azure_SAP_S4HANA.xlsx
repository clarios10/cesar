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VMs" sheetId="2" state="visible" r:id="rId4"/>
    <sheet name="Discos" sheetId="3" state="visible" r:id="rId5"/>
    <sheet name="Notas y Supues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<sst xmlns="http://schemas.openxmlformats.org/spreadsheetml/2006/main" count="77" uniqueCount="76">
  <si>
    <t xml:space="preserve">Estimado de Costos Azure — Ambiente SAP S/4HANA (Instalacion Inicial)</t>
  </si>
  <si>
    <t xml:space="preserve">Region: East US  |  Moneda: USD  |  Fecha de referencia: 29-jul-2026</t>
  </si>
  <si>
    <t xml:space="preserve">Cifras de referencia para planeacion. Validar montos finales en la Azure Pricing Calculator antes de aprobar presupuesto.</t>
  </si>
  <si>
    <t xml:space="preserve">Escenario</t>
  </si>
  <si>
    <t xml:space="preserve">Computo mensual ($)</t>
  </si>
  <si>
    <t xml:space="preserve">Storage mensual ($)</t>
  </si>
  <si>
    <t xml:space="preserve">Total mensual ($)</t>
  </si>
  <si>
    <t xml:space="preserve">Total anual ($)</t>
  </si>
  <si>
    <t xml:space="preserve">Pay-as-you-go</t>
  </si>
  <si>
    <t xml:space="preserve">Reservado 1 año</t>
  </si>
  <si>
    <t xml:space="preserve">Reservado 3 años</t>
  </si>
  <si>
    <t xml:space="preserve">Nota: Storage se asume constante entre escenarios de computo (los discos no tienen descuento por reserva de instancia).</t>
  </si>
  <si>
    <t xml:space="preserve">Detalle de Maquinas Virtuales (Compute)</t>
  </si>
  <si>
    <t xml:space="preserve">Editar en azul: Cantidad y Horas/mes. Tarifas Linux, sin licencia SO, East US.</t>
  </si>
  <si>
    <t xml:space="preserve">Rol SAP</t>
  </si>
  <si>
    <t xml:space="preserve">Equivalente AWS</t>
  </si>
  <si>
    <t xml:space="preserve">SKU Azure</t>
  </si>
  <si>
    <t xml:space="preserve">vCPU</t>
  </si>
  <si>
    <t xml:space="preserve">RAM (GiB)</t>
  </si>
  <si>
    <t xml:space="preserve">Cantidad</t>
  </si>
  <si>
    <t xml:space="preserve">Horas/mes</t>
  </si>
  <si>
    <t xml:space="preserve">Tarifa PAYG ($/hr)</t>
  </si>
  <si>
    <t xml:space="preserve">Tarifa Reserv. 1a ($/hr)</t>
  </si>
  <si>
    <t xml:space="preserve">Tarifa Reserv. 3a ($/hr)</t>
  </si>
  <si>
    <t xml:space="preserve">Costo mensual PAYG ($)</t>
  </si>
  <si>
    <t xml:space="preserve">Costo mensual 1a ($)</t>
  </si>
  <si>
    <t xml:space="preserve">Costo mensual 3a ($)</t>
  </si>
  <si>
    <t xml:space="preserve">DB/App S/4HANA (inicial)</t>
  </si>
  <si>
    <t xml:space="preserve">R6i.8xlarge</t>
  </si>
  <si>
    <t xml:space="preserve">Standard_E32s_v5</t>
  </si>
  <si>
    <t xml:space="preserve">DB HANA alta memoria (opcional)</t>
  </si>
  <si>
    <t xml:space="preserve">X1.16xlarge</t>
  </si>
  <si>
    <t xml:space="preserve">Standard_M64s_v2</t>
  </si>
  <si>
    <t xml:space="preserve">Total Compute</t>
  </si>
  <si>
    <t xml:space="preserve">Detalle de Almacenamiento (Discos y Share)</t>
  </si>
  <si>
    <t xml:space="preserve">Editar en azul: Tamano (GiB), IOPS extra y Throughput extra. East US.</t>
  </si>
  <si>
    <t xml:space="preserve">Recurso SAP</t>
  </si>
  <si>
    <t xml:space="preserve">Tipo Azure</t>
  </si>
  <si>
    <t xml:space="preserve">Tamano (GiB)</t>
  </si>
  <si>
    <t xml:space="preserve">$/GiB-mes</t>
  </si>
  <si>
    <t xml:space="preserve">IOPS extra sobre base</t>
  </si>
  <si>
    <t xml:space="preserve">$/IOPS-mes</t>
  </si>
  <si>
    <t xml:space="preserve">MBps extra sobre base</t>
  </si>
  <si>
    <t xml:space="preserve">$/MBps-mes</t>
  </si>
  <si>
    <t xml:space="preserve">Costo mensual ($)</t>
  </si>
  <si>
    <t xml:space="preserve">OS Disk x2 (DB + HANA-mem)</t>
  </si>
  <si>
    <t xml:space="preserve">Premium SSD P10 (128 GiB c/u) x2</t>
  </si>
  <si>
    <t xml:space="preserve">Data HANA (Data1)</t>
  </si>
  <si>
    <t xml:space="preserve">Premium SSD v2</t>
  </si>
  <si>
    <t xml:space="preserve">Log HANA (Write Accelerator)</t>
  </si>
  <si>
    <t xml:space="preserve">App SAP (binarios)</t>
  </si>
  <si>
    <t xml:space="preserve">Premium SSD P6 (64 GiB)</t>
  </si>
  <si>
    <t xml:space="preserve">Share (/sapmnt, /trans)</t>
  </si>
  <si>
    <t xml:space="preserve">Azure NetApp Files - Premium</t>
  </si>
  <si>
    <t xml:space="preserve">Total Storage</t>
  </si>
  <si>
    <t xml:space="preserve">Notas, Fuentes y Supuestos</t>
  </si>
  <si>
    <t xml:space="preserve">Region: East US. Precios en USD, sistema operativo Linux (sin licencia incluida), sin Azure Hybrid Benefit.</t>
  </si>
  <si>
    <t xml:space="preserve">COMPUTO:</t>
  </si>
  <si>
    <t xml:space="preserve">- Standard_E32s_v5 (32 vCPU / 256 GiB): PAYG $2.0160/hr, Reservado 1a $1.2438/hr, Reservado 3a $0.7963/hr. Fuente: tarifas publicas Azure (Holori/CloudPrice), consultado 29-jul-2026.</t>
  </si>
  <si>
    <t xml:space="preserve">- Standard_M64s_v2 (64 vCPU / 1024 GiB): PAYG estimado $6.4590/hr (CloudPrice, $4,715.07/mes / 730 hrs). Tarifas Reservado 1a y 3a NO estan publicadas para esta SKU especifica en las fuentes consultadas; se estimaron aplicando el mismo % de descuento observado en Standard_M64s (v1): ~42% (1a) y ~72% (3a). VALIDAR este dato puntual en la Azure Pricing Calculator o Retail Prices API antes de usarlo en un presupuesto formal.</t>
  </si>
  <si>
    <t xml:space="preserve">- 730 horas/mes asume operacion 24x7. Ajustar la columna 'Horas/mes' si el ambiente se apaga fuera de horario (ej. Dev/QA).</t>
  </si>
  <si>
    <t xml:space="preserve">ALMACENAMIENTO:</t>
  </si>
  <si>
    <t xml:space="preserve">- Premium SSD v2 (Data y Log de HANA): $0.0810/GiB-mes de capacidad; primeros 3,000 IOPS y 125 MBps incluidos sin costo; excedente a $0.0052/IOPS-mes y $0.0410/MBps-mes. Se asumieron 5,000 IOPS y 250 MBps provisionados por disco (2,000 IOPS y 125 MBps de excedente) como punto de partida — ajustar segun el sizing real de HANA.</t>
  </si>
  <si>
    <t xml:space="preserve">- OS Disk: Premium SSD P10 (128 GiB) ~$19.71/mes cada uno; se muestran 2 discos (uno por VM) a tarifa combinada.</t>
  </si>
  <si>
    <t xml:space="preserve">- App SAP: Premium SSD P6 (64 GiB) ~$10.21/mes (se redondea el disco de 50 GiB solicitado al tier P6).</t>
  </si>
  <si>
    <t xml:space="preserve">- Share (/sapmnt, /trans): estimado con Azure NetApp Files tier Premium (~$0.294/GiB-mes). Alternativa mas economica: tier Standard (~$0.152/GiB-mes) si el I/O requerido es menor.</t>
  </si>
  <si>
    <t xml:space="preserve">- El log de HANA en la solicitud original aparece como '0.5 GB'; se asumio que se referia a 500 GiB (0.5 TB) dado que un log de 0.5 GB es atipicamente pequeno para HANA productivo. Confirmar el tamano real con el equipo de Basis/sizing.</t>
  </si>
  <si>
    <t xml:space="preserve">NO INCLUIDO EN ESTE ESTIMADO:</t>
  </si>
  <si>
    <t xml:space="preserve">- Licenciamiento de sistema operativo (RHEL/SUSE for SAP Applications) y licenciamiento SAP.</t>
  </si>
  <si>
    <t xml:space="preserve">- Azure Backup, Azure Monitor for SAP Solutions, Azure Bastion, VPN/ExpressRoute, egress de red.</t>
  </si>
  <si>
    <t xml:space="preserve">- Costos de Azure NetApp Files capacity pool minimo (los capacity pools tienen tamanos minimos de 4 TiB en tier Standard/Premium que pueden generar sobrecosto si no se comparten con otros workloads).</t>
  </si>
  <si>
    <t xml:space="preserve">- Soporte tecnico (Azure Support Plans) y costos de migracion/profesional services.</t>
  </si>
  <si>
    <t xml:space="preserve">COMO VALIDAR ESTAS CIFRAS:</t>
  </si>
  <si>
    <t xml:space="preserve">1. Azure Pricing Calculator: https://azure.microsoft.com/en-us/pricing/calculator/ (agregar cada VM/disco manualmente con la region East US).</t>
  </si>
  <si>
    <t xml:space="preserve">2. Azure Retail Prices API (publica, sin autenticacion): https://prices.azure.com/api/retail/prices — permite consultar tarifas exactas y vigentes por SKU y region.</t>
  </si>
  <si>
    <t xml:space="preserve">3. Para una cotizacion con descuentos negociados (Enterprise Agreement / MACC), contactar al representante de cuenta de Microsoft o CSP.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</si>
</sst>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26.85" hidden="false" customHeight="false" outlineLevel="0" collapsed="false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customFormat="false" ht="15" hidden="false" customHeight="false" outlineLevel="0" collapsed="false">
      <c r="B7" s="4" t="s">
        <v>8</v>
      </c>
      <c r="C7" s="5" t="n">
        <f aca="false">VMs!L8</f>
        <v>6186.75</v>
      </c>
      <c r="D7" s="5" t="n">
        <f aca="false">Discos!J11</f>
        <v>519.4636</v>
      </c>
      <c r="E7" s="5" t="n">
        <f aca="false">C7+D7</f>
        <v>6706.2136</v>
      </c>
      <c r="F7" s="5" t="n">
        <f aca="false">E7*12</f>
        <v>80474.5632</v>
      </c>
    </row>
    <row r="8" customFormat="false" ht="15" hidden="false" customHeight="false" outlineLevel="0" collapsed="false">
      <c r="B8" s="4" t="s">
        <v>9</v>
      </c>
      <c r="C8" s="5" t="n">
        <f aca="false">VMs!M8</f>
        <v>3642.7</v>
      </c>
      <c r="D8" s="5" t="n">
        <f aca="false">Discos!J11</f>
        <v>519.4636</v>
      </c>
      <c r="E8" s="5" t="n">
        <f aca="false">C8+D8</f>
        <v>4162.1636</v>
      </c>
      <c r="F8" s="5" t="n">
        <f aca="false">E8*12</f>
        <v>49945.9632</v>
      </c>
    </row>
    <row r="9" customFormat="false" ht="15" hidden="false" customHeight="false" outlineLevel="0" collapsed="false">
      <c r="B9" s="4" t="s">
        <v>10</v>
      </c>
      <c r="C9" s="5" t="n">
        <f aca="false">VMs!N8</f>
        <v>1901.504</v>
      </c>
      <c r="D9" s="5" t="n">
        <f aca="false">Discos!J11</f>
        <v>519.4636</v>
      </c>
      <c r="E9" s="5" t="n">
        <f aca="false">C9+D9</f>
        <v>2420.9676</v>
      </c>
      <c r="F9" s="5" t="n">
        <f aca="false">E9*12</f>
        <v>29051.6112</v>
      </c>
    </row>
    <row r="12" customFormat="false" ht="15" hidden="false" customHeight="false" outlineLevel="0" collapsed="false">
      <c r="B12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2" min="12" style="0" width="18"/>
    <col collapsed="false" customWidth="true" hidden="false" outlineLevel="0" max="14" min="13" style="0" width="16"/>
  </cols>
  <sheetData>
    <row r="2" customFormat="false" ht="17.35" hidden="false" customHeight="false" outlineLevel="0" collapsed="false">
      <c r="B2" s="1" t="s">
        <v>12</v>
      </c>
    </row>
    <row r="3" customFormat="false" ht="15" hidden="false" customHeight="false" outlineLevel="0" collapsed="false">
      <c r="B3" s="2" t="s">
        <v>13</v>
      </c>
    </row>
    <row r="5" customFormat="false" ht="26.85" hidden="false" customHeight="false" outlineLevel="0" collapsed="false"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</row>
    <row r="6" customFormat="false" ht="15" hidden="false" customHeight="false" outlineLevel="0" collapsed="false">
      <c r="B6" s="6" t="s">
        <v>27</v>
      </c>
      <c r="C6" s="6" t="s">
        <v>28</v>
      </c>
      <c r="D6" s="6" t="s">
        <v>29</v>
      </c>
      <c r="E6" s="6" t="n">
        <v>32</v>
      </c>
      <c r="F6" s="6" t="n">
        <v>256</v>
      </c>
      <c r="G6" s="7" t="n">
        <v>1</v>
      </c>
      <c r="H6" s="7" t="n">
        <v>730</v>
      </c>
      <c r="I6" s="8" t="n">
        <v>2.016</v>
      </c>
      <c r="J6" s="8" t="n">
        <v>1.2438</v>
      </c>
      <c r="K6" s="8" t="n">
        <v>0.7963</v>
      </c>
      <c r="L6" s="5" t="n">
        <f aca="false">G6*H6*I6</f>
        <v>1471.68</v>
      </c>
      <c r="M6" s="5" t="n">
        <f aca="false">G6*H6*J6</f>
        <v>907.974</v>
      </c>
      <c r="N6" s="5" t="n">
        <f aca="false">G6*H6*K6</f>
        <v>581.299</v>
      </c>
    </row>
    <row r="7" customFormat="false" ht="15" hidden="false" customHeight="false" outlineLevel="0" collapsed="false">
      <c r="B7" s="6" t="s">
        <v>30</v>
      </c>
      <c r="C7" s="6" t="s">
        <v>31</v>
      </c>
      <c r="D7" s="6" t="s">
        <v>32</v>
      </c>
      <c r="E7" s="6" t="n">
        <v>64</v>
      </c>
      <c r="F7" s="6" t="n">
        <v>1024</v>
      </c>
      <c r="G7" s="7" t="n">
        <v>1</v>
      </c>
      <c r="H7" s="7" t="n">
        <v>730</v>
      </c>
      <c r="I7" s="8" t="n">
        <v>6.459</v>
      </c>
      <c r="J7" s="8" t="n">
        <v>3.7462</v>
      </c>
      <c r="K7" s="8" t="n">
        <v>1.8085</v>
      </c>
      <c r="L7" s="5" t="n">
        <f aca="false">G7*H7*I7</f>
        <v>4715.07</v>
      </c>
      <c r="M7" s="5" t="n">
        <f aca="false">G7*H7*J7</f>
        <v>2734.726</v>
      </c>
      <c r="N7" s="5" t="n">
        <f aca="false">G7*H7*K7</f>
        <v>1320.205</v>
      </c>
    </row>
    <row r="8" customFormat="false" ht="15" hidden="false" customHeight="false" outlineLevel="0" collapsed="false">
      <c r="B8" s="4" t="s">
        <v>33</v>
      </c>
      <c r="C8" s="6"/>
      <c r="D8" s="6"/>
      <c r="E8" s="6"/>
      <c r="F8" s="6"/>
      <c r="G8" s="6"/>
      <c r="H8" s="6"/>
      <c r="I8" s="6"/>
      <c r="J8" s="6"/>
      <c r="K8" s="6"/>
      <c r="L8" s="9" t="n">
        <f aca="false">SUM(L6:L7)</f>
        <v>6186.75</v>
      </c>
      <c r="M8" s="9" t="n">
        <f aca="false">SUM(M6:M7)</f>
        <v>3642.7</v>
      </c>
      <c r="N8" s="9" t="n">
        <f aca="false">SUM(N6:N7)</f>
        <v>1901.504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</cols>
  <sheetData>
    <row r="2" customFormat="false" ht="17.35" hidden="false" customHeight="false" outlineLevel="0" collapsed="false">
      <c r="B2" s="1" t="s">
        <v>34</v>
      </c>
    </row>
    <row r="3" customFormat="false" ht="15" hidden="false" customHeight="false" outlineLevel="0" collapsed="false">
      <c r="B3" s="2" t="s">
        <v>35</v>
      </c>
    </row>
    <row r="5" customFormat="false" ht="26.85" hidden="false" customHeight="false" outlineLevel="0" collapsed="false"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</row>
    <row r="6" customFormat="false" ht="15" hidden="false" customHeight="false" outlineLevel="0" collapsed="false">
      <c r="B6" s="6" t="s">
        <v>45</v>
      </c>
      <c r="C6" s="6" t="s">
        <v>46</v>
      </c>
      <c r="D6" s="7" t="n">
        <v>256</v>
      </c>
      <c r="E6" s="6" t="n">
        <v>0.1541</v>
      </c>
      <c r="F6" s="7" t="n">
        <v>0</v>
      </c>
      <c r="G6" s="6" t="n">
        <v>0</v>
      </c>
      <c r="H6" s="7" t="n">
        <v>0</v>
      </c>
      <c r="I6" s="6" t="n">
        <v>0</v>
      </c>
      <c r="J6" s="5" t="n">
        <f aca="false">(D6*E6)+(F6*G6)+(H6*I6)</f>
        <v>39.4496</v>
      </c>
    </row>
    <row r="7" customFormat="false" ht="15" hidden="false" customHeight="false" outlineLevel="0" collapsed="false">
      <c r="B7" s="6" t="s">
        <v>47</v>
      </c>
      <c r="C7" s="6" t="s">
        <v>48</v>
      </c>
      <c r="D7" s="7" t="n">
        <v>1200</v>
      </c>
      <c r="E7" s="6" t="n">
        <v>0.081</v>
      </c>
      <c r="F7" s="7" t="n">
        <v>2000</v>
      </c>
      <c r="G7" s="6" t="n">
        <v>0.0052</v>
      </c>
      <c r="H7" s="7" t="n">
        <v>125</v>
      </c>
      <c r="I7" s="6" t="n">
        <v>0.041</v>
      </c>
      <c r="J7" s="5" t="n">
        <f aca="false">(D7*E7)+(F7*G7)+(H7*I7)</f>
        <v>112.725</v>
      </c>
    </row>
    <row r="8" customFormat="false" ht="15" hidden="false" customHeight="false" outlineLevel="0" collapsed="false">
      <c r="B8" s="6" t="s">
        <v>49</v>
      </c>
      <c r="C8" s="6" t="s">
        <v>48</v>
      </c>
      <c r="D8" s="7" t="n">
        <v>500</v>
      </c>
      <c r="E8" s="6" t="n">
        <v>0.081</v>
      </c>
      <c r="F8" s="7" t="n">
        <v>2000</v>
      </c>
      <c r="G8" s="6" t="n">
        <v>0.0052</v>
      </c>
      <c r="H8" s="7" t="n">
        <v>125</v>
      </c>
      <c r="I8" s="6" t="n">
        <v>0.041</v>
      </c>
      <c r="J8" s="5" t="n">
        <f aca="false">(D8*E8)+(F8*G8)+(H8*I8)</f>
        <v>56.025</v>
      </c>
    </row>
    <row r="9" customFormat="false" ht="15" hidden="false" customHeight="false" outlineLevel="0" collapsed="false">
      <c r="B9" s="6" t="s">
        <v>50</v>
      </c>
      <c r="C9" s="6" t="s">
        <v>51</v>
      </c>
      <c r="D9" s="7" t="n">
        <v>64</v>
      </c>
      <c r="E9" s="6" t="n">
        <v>0.1595</v>
      </c>
      <c r="F9" s="7" t="n">
        <v>0</v>
      </c>
      <c r="G9" s="6" t="n">
        <v>0</v>
      </c>
      <c r="H9" s="7" t="n">
        <v>0</v>
      </c>
      <c r="I9" s="6" t="n">
        <v>0</v>
      </c>
      <c r="J9" s="5" t="n">
        <f aca="false">(D9*E9)+(F9*G9)+(H9*I9)</f>
        <v>10.208</v>
      </c>
    </row>
    <row r="10" customFormat="false" ht="15" hidden="false" customHeight="false" outlineLevel="0" collapsed="false">
      <c r="B10" s="6" t="s">
        <v>52</v>
      </c>
      <c r="C10" s="6" t="s">
        <v>53</v>
      </c>
      <c r="D10" s="7" t="n">
        <v>1024</v>
      </c>
      <c r="E10" s="6" t="n">
        <v>0.294</v>
      </c>
      <c r="F10" s="7" t="n">
        <v>0</v>
      </c>
      <c r="G10" s="6" t="n">
        <v>0</v>
      </c>
      <c r="H10" s="7" t="n">
        <v>0</v>
      </c>
      <c r="I10" s="6" t="n">
        <v>0</v>
      </c>
      <c r="J10" s="5" t="n">
        <f aca="false">(D10*E10)+(F10*G10)+(H10*I10)</f>
        <v>301.056</v>
      </c>
    </row>
    <row r="11" customFormat="false" ht="15" hidden="false" customHeight="false" outlineLevel="0" collapsed="false">
      <c r="B11" s="4" t="s">
        <v>54</v>
      </c>
      <c r="C11" s="6"/>
      <c r="D11" s="6"/>
      <c r="E11" s="6"/>
      <c r="F11" s="6"/>
      <c r="G11" s="6"/>
      <c r="H11" s="6"/>
      <c r="I11" s="6"/>
      <c r="J11" s="9" t="n">
        <f aca="false">SUM(J6:J10)</f>
        <v>519.4636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2" customFormat="false" ht="17.35" hidden="false" customHeight="false" outlineLevel="0" collapsed="false">
      <c r="B2" s="1" t="s">
        <v>55</v>
      </c>
    </row>
    <row r="4" customFormat="false" ht="30" hidden="false" customHeight="true" outlineLevel="0" collapsed="false">
      <c r="B4" s="10" t="s">
        <v>56</v>
      </c>
    </row>
    <row r="5" customFormat="false" ht="15" hidden="false" customHeight="true" outlineLevel="0" collapsed="false">
      <c r="B5" s="10"/>
    </row>
    <row r="6" customFormat="false" ht="15" hidden="false" customHeight="true" outlineLevel="0" collapsed="false">
      <c r="B6" s="11" t="s">
        <v>57</v>
      </c>
    </row>
    <row r="7" customFormat="false" ht="30" hidden="false" customHeight="true" outlineLevel="0" collapsed="false">
      <c r="B7" s="10" t="s">
        <v>58</v>
      </c>
    </row>
    <row r="8" customFormat="false" ht="30" hidden="false" customHeight="true" outlineLevel="0" collapsed="false">
      <c r="B8" s="10" t="s">
        <v>59</v>
      </c>
    </row>
    <row r="9" customFormat="false" ht="30" hidden="false" customHeight="true" outlineLevel="0" collapsed="false">
      <c r="B9" s="10" t="s">
        <v>60</v>
      </c>
    </row>
    <row r="10" customFormat="false" ht="15" hidden="false" customHeight="true" outlineLevel="0" collapsed="false">
      <c r="B10" s="10"/>
    </row>
    <row r="11" customFormat="false" ht="15" hidden="false" customHeight="true" outlineLevel="0" collapsed="false">
      <c r="B11" s="11" t="s">
        <v>61</v>
      </c>
    </row>
    <row r="12" customFormat="false" ht="30" hidden="false" customHeight="true" outlineLevel="0" collapsed="false">
      <c r="B12" s="10" t="s">
        <v>62</v>
      </c>
    </row>
    <row r="13" customFormat="false" ht="30" hidden="false" customHeight="true" outlineLevel="0" collapsed="false">
      <c r="B13" s="10" t="s">
        <v>63</v>
      </c>
    </row>
    <row r="14" customFormat="false" ht="30" hidden="false" customHeight="true" outlineLevel="0" collapsed="false">
      <c r="B14" s="10" t="s">
        <v>64</v>
      </c>
    </row>
    <row r="15" customFormat="false" ht="30" hidden="false" customHeight="true" outlineLevel="0" collapsed="false">
      <c r="B15" s="10" t="s">
        <v>65</v>
      </c>
    </row>
    <row r="16" customFormat="false" ht="30" hidden="false" customHeight="true" outlineLevel="0" collapsed="false">
      <c r="B16" s="10" t="s">
        <v>66</v>
      </c>
    </row>
    <row r="17" customFormat="false" ht="15" hidden="false" customHeight="true" outlineLevel="0" collapsed="false">
      <c r="B17" s="10"/>
    </row>
    <row r="18" customFormat="false" ht="15" hidden="false" customHeight="true" outlineLevel="0" collapsed="false">
      <c r="B18" s="11" t="s">
        <v>67</v>
      </c>
    </row>
    <row r="19" customFormat="false" ht="30" hidden="false" customHeight="true" outlineLevel="0" collapsed="false">
      <c r="B19" s="10" t="s">
        <v>68</v>
      </c>
    </row>
    <row r="20" customFormat="false" ht="30" hidden="false" customHeight="true" outlineLevel="0" collapsed="false">
      <c r="B20" s="10" t="s">
        <v>69</v>
      </c>
    </row>
    <row r="21" customFormat="false" ht="30" hidden="false" customHeight="true" outlineLevel="0" collapsed="false">
      <c r="B21" s="10" t="s">
        <v>70</v>
      </c>
    </row>
    <row r="22" customFormat="false" ht="15" hidden="false" customHeight="true" outlineLevel="0" collapsed="false">
      <c r="B22" s="10" t="s">
        <v>71</v>
      </c>
    </row>
    <row r="23" customFormat="false" ht="15" hidden="false" customHeight="true" outlineLevel="0" collapsed="false">
      <c r="B23" s="10"/>
    </row>
    <row r="24" customFormat="false" ht="15" hidden="false" customHeight="true" outlineLevel="0" collapsed="false">
      <c r="B24" s="11" t="s">
        <v>72</v>
      </c>
    </row>
    <row r="25" customFormat="false" ht="30" hidden="false" customHeight="true" outlineLevel="0" collapsed="false">
      <c r="B25" s="10" t="s">
        <v>73</v>
      </c>
    </row>
    <row r="26" customFormat="false" ht="30" hidden="false" customHeight="true" outlineLevel="0" collapsed="false">
      <c r="B26" s="10" t="s">
        <v>74</v>
      </c>
    </row>
    <row r="27" customFormat="false" ht="30" hidden="false" customHeight="true" outlineLevel="0" collapsed="false">
      <c r="B27" s="1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2026-07-29T22:15:34Z</dcterms:created>
  <dc:creator>openpyxl</dc:creator>
  <dc:description/>
  <dc:language>en-US</dc:language>
  <cp:lastModifiedBy/>
  <dcterms:modified xsi:type="dcterms:W3CDTF">2026-07-29T22:15:34Z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