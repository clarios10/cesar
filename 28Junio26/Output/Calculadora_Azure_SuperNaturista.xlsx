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SKUs Fabric" sheetId="3" state="visible" r:id="rId5"/>
    <sheet name="Notas y Supue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<sst xmlns="http://schemas.openxmlformats.org/spreadsheetml/2006/main" count="422" uniqueCount="247">
  <si>
    <t xml:space="preserve">Calculadora Azure — Data Lake con Microsoft Fabric</t>
  </si>
  <si>
    <t xml:space="preserve">Preparado para Super Naturista</t>
  </si>
  <si>
    <t xml:space="preserve">Región de referencia:</t>
  </si>
  <si>
    <t xml:space="preserve">US East</t>
  </si>
  <si>
    <t xml:space="preserve">Fecha de precios:</t>
  </si>
  <si>
    <t xml:space="preserve">Junio 2026</t>
  </si>
  <si>
    <t xml:space="preserve">Moneda:</t>
  </si>
  <si>
    <t xml:space="preserve">USD</t>
  </si>
  <si>
    <t xml:space="preserve">Fuente:</t>
  </si>
  <si>
    <t xml:space="preserve">Precios lista Microsoft Azure (referenciales)</t>
  </si>
  <si>
    <t xml:space="preserve">Resumen de Escenarios</t>
  </si>
  <si>
    <t xml:space="preserve">Escenario</t>
  </si>
  <si>
    <t xml:space="preserve">Descripción</t>
  </si>
  <si>
    <t xml:space="preserve">Costo Mensual</t>
  </si>
  <si>
    <t xml:space="preserve">Costo Anual</t>
  </si>
  <si>
    <t xml:space="preserve">Uso principal</t>
  </si>
  <si>
    <t xml:space="preserve">Recomendación</t>
  </si>
  <si>
    <t xml:space="preserve">Piloto</t>
  </si>
  <si>
    <t xml:space="preserve">Demo y validación (3-6 meses)</t>
  </si>
  <si>
    <t xml:space="preserve">Demostrar valor con bajo costo</t>
  </si>
  <si>
    <t xml:space="preserve">Iniciar con trial 60 días</t>
  </si>
  <si>
    <t xml:space="preserve">Producción Inicial</t>
  </si>
  <si>
    <t xml:space="preserve">Operación estable (25 usuarios)</t>
  </si>
  <si>
    <t xml:space="preserve">Fase productiva ligera</t>
  </si>
  <si>
    <t xml:space="preserve">Reserved 1 año</t>
  </si>
  <si>
    <t xml:space="preserve">Producción a Escala</t>
  </si>
  <si>
    <t xml:space="preserve">Escalamiento (&gt;80 usuarios)</t>
  </si>
  <si>
    <t xml:space="preserve">F64+, libera Pro consumidores</t>
  </si>
  <si>
    <t xml:space="preserve">Evaluar F64 reserved</t>
  </si>
  <si>
    <t xml:space="preserve">Desglose por Categoría (mensual, USD)</t>
  </si>
  <si>
    <t xml:space="preserve">Categoría</t>
  </si>
  <si>
    <t xml:space="preserve">Cómputo Fabric</t>
  </si>
  <si>
    <t xml:space="preserve">Licencias Power BI</t>
  </si>
  <si>
    <t xml:space="preserve">Redes</t>
  </si>
  <si>
    <t xml:space="preserve">Identidad y Accesos</t>
  </si>
  <si>
    <t xml:space="preserve">Seguridad</t>
  </si>
  <si>
    <t xml:space="preserve">Monitoreo</t>
  </si>
  <si>
    <t xml:space="preserve">Respaldos</t>
  </si>
  <si>
    <t xml:space="preserve">Gobierno de Datos</t>
  </si>
  <si>
    <t xml:space="preserve">TOTAL</t>
  </si>
  <si>
    <t xml:space="preserve">Notas importantes</t>
  </si>
  <si>
    <t xml:space="preserve">• Los precios son referenciales de lista pública de Microsoft Azure (US East, junio 2026) y deben validarse en el momento de la contratación.</t>
  </si>
  <si>
    <t xml:space="preserve">• Para una cotización oficial, utilice la calculadora de Azure: https://azure.microsoft.com/pricing/calculator/</t>
  </si>
  <si>
    <t xml:space="preserve">• Los precios pueden variar ±10-15% según la región Azure (Mexico Central, South Central US, etc.).</t>
  </si>
  <si>
    <t xml:space="preserve">• Las licencias adquiridas mediante Enterprise Agreement, CSP o Reservado pueden tener descuentos adicionales.</t>
  </si>
  <si>
    <t xml:space="preserve">• Este documento no incluye honorarios de servicios profesionales, que se cotizan por separado.</t>
  </si>
  <si>
    <t xml:space="preserve">• Para modificar escenarios: edite las columnas "Incluir en..." en la hoja "Detalle" (Sí/No) o ajuste cantidades.</t>
  </si>
  <si>
    <t xml:space="preserve">Cálculo Detallado por Componente</t>
  </si>
  <si>
    <t xml:space="preserve">Instrucciones: modifique las columnas F (Cantidad) y H/I/J (Sí/No) para ajustar cada escenario.</t>
  </si>
  <si>
    <t xml:space="preserve">Componente</t>
  </si>
  <si>
    <t xml:space="preserve">SKU / Configuración</t>
  </si>
  <si>
    <t xml:space="preserve">Unidad</t>
  </si>
  <si>
    <t xml:space="preserve">Precio Unitario</t>
  </si>
  <si>
    <t xml:space="preserve">Cantidad</t>
  </si>
  <si>
    <t xml:space="preserve">Incluir Piloto</t>
  </si>
  <si>
    <t xml:space="preserve">Incluir Prod. Inicial</t>
  </si>
  <si>
    <t xml:space="preserve">Incluir Prod. Escala</t>
  </si>
  <si>
    <t xml:space="preserve">Costo Piloto</t>
  </si>
  <si>
    <t xml:space="preserve">Costo Prod. Inicial</t>
  </si>
  <si>
    <t xml:space="preserve">Costo Prod. Escala</t>
  </si>
  <si>
    <t xml:space="preserve">Notas</t>
  </si>
  <si>
    <t xml:space="preserve">Microsoft Fabric F2</t>
  </si>
  <si>
    <t xml:space="preserve">PAYG con pausa 50%</t>
  </si>
  <si>
    <t xml:space="preserve">Mes</t>
  </si>
  <si>
    <t xml:space="preserve">Sí</t>
  </si>
  <si>
    <t xml:space="preserve">No</t>
  </si>
  <si>
    <t xml:space="preserve">Trial gratis 60 días. Con pausa fuera de horario ahorra ~50%.</t>
  </si>
  <si>
    <t xml:space="preserve">Microsoft Fabric F4</t>
  </si>
  <si>
    <t xml:space="preserve">Reservado 1 año</t>
  </si>
  <si>
    <t xml:space="preserve">~40% descuento vs PAYG. Recomendado post-piloto.</t>
  </si>
  <si>
    <t xml:space="preserve">Microsoft Fabric F64</t>
  </si>
  <si>
    <t xml:space="preserve">Umbral para consumidores Power BI sin licencia Pro.</t>
  </si>
  <si>
    <t xml:space="preserve">Power BI Pro — Autores</t>
  </si>
  <si>
    <t xml:space="preserve">Licencia por usuario</t>
  </si>
  <si>
    <t xml:space="preserve">Usuario/mes</t>
  </si>
  <si>
    <t xml:space="preserve">Requerido siempre para quienes crean/publican contenido.</t>
  </si>
  <si>
    <t xml:space="preserve">Power BI Pro — Consumidores</t>
  </si>
  <si>
    <t xml:space="preserve">No requerido si la capacidad es F64+ (viewers gratis).</t>
  </si>
  <si>
    <t xml:space="preserve">Virtual Network (VNet)</t>
  </si>
  <si>
    <t xml:space="preserve">Hub-and-Spoke con subredes</t>
  </si>
  <si>
    <t xml:space="preserve">Servicio gratuito. Aplican cargos por egress de datos.</t>
  </si>
  <si>
    <t xml:space="preserve">Network Security Groups (NSG)</t>
  </si>
  <si>
    <t xml:space="preserve">Reglas por subred</t>
  </si>
  <si>
    <t xml:space="preserve">Servicio gratuito. Primera línea de defensa.</t>
  </si>
  <si>
    <t xml:space="preserve">VPN Gateway VpnGw1</t>
  </si>
  <si>
    <t xml:space="preserve">Site-to-Site VPN, 650 Mbps</t>
  </si>
  <si>
    <t xml:space="preserve">Para conectar red on-premise con Azure.</t>
  </si>
  <si>
    <t xml:space="preserve">VPN Gateway VpnGw2</t>
  </si>
  <si>
    <t xml:space="preserve">Site-to-Site VPN, 1 Gbps</t>
  </si>
  <si>
    <t xml:space="preserve">Para mayor throughput y HA. Sustituye VpnGw1 en escala.</t>
  </si>
  <si>
    <t xml:space="preserve">Private Endpoint</t>
  </si>
  <si>
    <t xml:space="preserve">Conexión privada a servicios PaaS</t>
  </si>
  <si>
    <t xml:space="preserve">Endpoint/mes</t>
  </si>
  <si>
    <t xml:space="preserve">Recomendado para OneLake, Key Vault, SQL. 3-6 endpoints típicos.</t>
  </si>
  <si>
    <t xml:space="preserve">Azure Firewall Basic</t>
  </si>
  <si>
    <t xml:space="preserve">Firewall administrado</t>
  </si>
  <si>
    <t xml:space="preserve">$0.395/hr. Adecuado para PyMEs. + $0.065/GB procesado.</t>
  </si>
  <si>
    <t xml:space="preserve">Azure Firewall Standard</t>
  </si>
  <si>
    <t xml:space="preserve">Firewall administrado avanzado</t>
  </si>
  <si>
    <t xml:space="preserve">$1.25/hr. + $0.016/GB procesado. Threat Intel incluido.</t>
  </si>
  <si>
    <t xml:space="preserve">Azure Bastion Basic</t>
  </si>
  <si>
    <t xml:space="preserve">RDP/SSH seguro sin IP pública</t>
  </si>
  <si>
    <t xml:space="preserve">Solo si hay VMs a administrar. Sustituye JumpBox.</t>
  </si>
  <si>
    <t xml:space="preserve">Application Gateway v2 con WAF</t>
  </si>
  <si>
    <t xml:space="preserve">Balanceador con WAF</t>
  </si>
  <si>
    <t xml:space="preserve">Solo si hay APIs/portales web expuestos.</t>
  </si>
  <si>
    <t xml:space="preserve">Microsoft Entra ID Free</t>
  </si>
  <si>
    <t xml:space="preserve">Incluido con suscripción</t>
  </si>
  <si>
    <t xml:space="preserve">Nivel base. Sin Conditional Access ni MFA gestionado.</t>
  </si>
  <si>
    <t xml:space="preserve">Microsoft Entra ID P1</t>
  </si>
  <si>
    <t xml:space="preserve">Por usuario</t>
  </si>
  <si>
    <t xml:space="preserve">Habilita Conditional Access, MFA, autoservicio de password.</t>
  </si>
  <si>
    <t xml:space="preserve">Microsoft Entra ID P2</t>
  </si>
  <si>
    <t xml:space="preserve">Incluye P1 + PIM (Privileged Identity Management) + Risk Detection.</t>
  </si>
  <si>
    <t xml:space="preserve">Entra Connect Sync</t>
  </si>
  <si>
    <t xml:space="preserve">Sincronización AD local ↔ Entra ID</t>
  </si>
  <si>
    <t xml:space="preserve">Servicio gratuito. Requiere servidor Windows para instalar el agente.</t>
  </si>
  <si>
    <t xml:space="preserve">Azure Key Vault Standard</t>
  </si>
  <si>
    <t xml:space="preserve">Gestión de secretos y llaves</t>
  </si>
  <si>
    <t xml:space="preserve">Costo por transacciones. Típico $5-20/mes para PyME.</t>
  </si>
  <si>
    <t xml:space="preserve">Defender for Cloud — Servers Plan 2</t>
  </si>
  <si>
    <t xml:space="preserve">Protección de VMs y servidores</t>
  </si>
  <si>
    <t xml:space="preserve">Servidor/mes</t>
  </si>
  <si>
    <t xml:space="preserve">Requerido si hay VMs (ej. Self-hosted IR).</t>
  </si>
  <si>
    <t xml:space="preserve">Defender for SQL</t>
  </si>
  <si>
    <t xml:space="preserve">Protección de bases SQL</t>
  </si>
  <si>
    <t xml:space="preserve">Protege el SQL Server on-prem y Fabric SQL.</t>
  </si>
  <si>
    <t xml:space="preserve">Defender for Storage</t>
  </si>
  <si>
    <t xml:space="preserve">Protección OneLake / Storage Accounts</t>
  </si>
  <si>
    <t xml:space="preserve">Cuenta/mes</t>
  </si>
  <si>
    <t xml:space="preserve">Malware scanning y detección de amenazas.</t>
  </si>
  <si>
    <t xml:space="preserve">Microsoft Sentinel</t>
  </si>
  <si>
    <t xml:space="preserve">SIEM/SOAR (10 GB/mes ingesta)</t>
  </si>
  <si>
    <t xml:space="preserve">$2-4/GB ingerido + costo Log Analytics. Estimado 10 GB.</t>
  </si>
  <si>
    <t xml:space="preserve">Azure DDoS Protection Standard</t>
  </si>
  <si>
    <t xml:space="preserve">Protección DDoS avanzada</t>
  </si>
  <si>
    <t xml:space="preserve">Muy costoso. Opcional solo para tráfico web expuesto y crítico.</t>
  </si>
  <si>
    <t xml:space="preserve">Log Analytics Workspace (10 GB)</t>
  </si>
  <si>
    <t xml:space="preserve">Ingesta de logs</t>
  </si>
  <si>
    <t xml:space="preserve">~$2.30/GB PAYG. Escalar según crecimiento.</t>
  </si>
  <si>
    <t xml:space="preserve">Log Analytics Workspace (adicional)</t>
  </si>
  <si>
    <t xml:space="preserve">Ingesta extendida (30 GB)</t>
  </si>
  <si>
    <t xml:space="preserve">Para entornos productivos con más telemetría.</t>
  </si>
  <si>
    <t xml:space="preserve">Azure Monitor Alerts</t>
  </si>
  <si>
    <t xml:space="preserve">Reglas de alertas y grupos de acción</t>
  </si>
  <si>
    <t xml:space="preserve">Costo mínimo por alertas y grupos de acción.</t>
  </si>
  <si>
    <t xml:space="preserve">Application Insights</t>
  </si>
  <si>
    <t xml:space="preserve">APM incluido con Log Analytics</t>
  </si>
  <si>
    <t xml:space="preserve">Incluido en Log Analytics. Sin cargo adicional base.</t>
  </si>
  <si>
    <t xml:space="preserve">Azure Backup — SQL Server</t>
  </si>
  <si>
    <t xml:space="preserve">Respaldo del SQL on-prem/VM</t>
  </si>
  <si>
    <t xml:space="preserve">Instancia/mes</t>
  </si>
  <si>
    <t xml:space="preserve">$5/instancia + almacenamiento. Estimado con storage.</t>
  </si>
  <si>
    <t xml:space="preserve">Azure Backup — VMs</t>
  </si>
  <si>
    <t xml:space="preserve">Respaldo de VMs auxiliares</t>
  </si>
  <si>
    <t xml:space="preserve">VM/mes</t>
  </si>
  <si>
    <t xml:space="preserve">Depende del tamaño de la VM. Estimado.</t>
  </si>
  <si>
    <t xml:space="preserve">OneLake Mirroring / Snapshots</t>
  </si>
  <si>
    <t xml:space="preserve">Réplica incluida en Fabric</t>
  </si>
  <si>
    <t xml:space="preserve">Incluido en la capacidad Fabric hasta el límite del SKU.</t>
  </si>
  <si>
    <t xml:space="preserve">Microsoft Purview — Base</t>
  </si>
  <si>
    <t xml:space="preserve">Data Map y Catalog</t>
  </si>
  <si>
    <t xml:space="preserve">DMU-based. Estimado inicial para PyME.</t>
  </si>
  <si>
    <t xml:space="preserve">Microsoft Purview — Ampliado</t>
  </si>
  <si>
    <t xml:space="preserve">Data Map + Governance</t>
  </si>
  <si>
    <t xml:space="preserve">Para catálogo extendido con mayor volumen de escaneo.</t>
  </si>
  <si>
    <t xml:space="preserve">Azure Policy</t>
  </si>
  <si>
    <t xml:space="preserve">Cumplimiento y gobierno de recursos</t>
  </si>
  <si>
    <t xml:space="preserve">Servicio gratuito. Habilitar desde el inicio.</t>
  </si>
  <si>
    <t xml:space="preserve">Azure Cost Management</t>
  </si>
  <si>
    <t xml:space="preserve">Control de gastos y budgets</t>
  </si>
  <si>
    <t xml:space="preserve">Servicio gratuito. Configurar budgets y alertas de costo.</t>
  </si>
  <si>
    <t xml:space="preserve">Catálogo de SKUs — Microsoft Fabric</t>
  </si>
  <si>
    <t xml:space="preserve">Referencia de precios PAYG y Reservado 1 año (US East, junio 2026)</t>
  </si>
  <si>
    <t xml:space="preserve">SKU</t>
  </si>
  <si>
    <t xml:space="preserve">CUs</t>
  </si>
  <si>
    <t xml:space="preserve">PAYG (USD/mes)</t>
  </si>
  <si>
    <t xml:space="preserve">Reservado 1 año (USD/mes)</t>
  </si>
  <si>
    <t xml:space="preserve">Almacenamiento Mirroring gratuito</t>
  </si>
  <si>
    <t xml:space="preserve">Uso típico</t>
  </si>
  <si>
    <t xml:space="preserve">F2</t>
  </si>
  <si>
    <t xml:space="preserve">2 TB</t>
  </si>
  <si>
    <t xml:space="preserve">Piloto / Demo</t>
  </si>
  <si>
    <t xml:space="preserve">F4</t>
  </si>
  <si>
    <t xml:space="preserve">4 TB</t>
  </si>
  <si>
    <t xml:space="preserve">Equipos pequeños</t>
  </si>
  <si>
    <t xml:space="preserve">F8</t>
  </si>
  <si>
    <t xml:space="preserve">8 TB</t>
  </si>
  <si>
    <t xml:space="preserve">Producción ligera</t>
  </si>
  <si>
    <t xml:space="preserve">F16</t>
  </si>
  <si>
    <t xml:space="preserve">16 TB</t>
  </si>
  <si>
    <t xml:space="preserve">Cargas medianas</t>
  </si>
  <si>
    <t xml:space="preserve">F32</t>
  </si>
  <si>
    <t xml:space="preserve">32 TB</t>
  </si>
  <si>
    <t xml:space="preserve">Mediana empresa</t>
  </si>
  <si>
    <t xml:space="preserve">F64</t>
  </si>
  <si>
    <t xml:space="preserve">64 TB</t>
  </si>
  <si>
    <t xml:space="preserve">Umbral free viewers</t>
  </si>
  <si>
    <t xml:space="preserve">F128</t>
  </si>
  <si>
    <t xml:space="preserve">128 TB</t>
  </si>
  <si>
    <t xml:space="preserve">Alta concurrencia</t>
  </si>
  <si>
    <t xml:space="preserve">F256</t>
  </si>
  <si>
    <t xml:space="preserve">256 TB</t>
  </si>
  <si>
    <t xml:space="preserve">Enterprise</t>
  </si>
  <si>
    <t xml:space="preserve">Notas sobre licenciamiento</t>
  </si>
  <si>
    <t xml:space="preserve">• F64 es el umbral crítico: por debajo, todos los consumidores de reportes Power BI requieren licencia Pro (~$10 USD/usuario/mes).</t>
  </si>
  <si>
    <t xml:space="preserve">• A partir de F64, los consumidores no requieren Pro; solo los autores.</t>
  </si>
  <si>
    <t xml:space="preserve">• Reservado a 1 año ofrece ~40% descuento sobre PAYG. Reservado a 3 años ofrece ~50%.</t>
  </si>
  <si>
    <t xml:space="preserve">• PAYG permite pausar la capacidad; ideal para pilotos con uso no continuo.</t>
  </si>
  <si>
    <t xml:space="preserve">• Cada SKU incluye almacenamiento gratuito de Mirroring hasta el tamaño mostrado.</t>
  </si>
  <si>
    <t xml:space="preserve">• Consulte la calculadora oficial: https://azure.microsoft.com/pricing/calculator/</t>
  </si>
  <si>
    <t xml:space="preserve">Notas, Supuestos y Consideraciones</t>
  </si>
  <si>
    <t xml:space="preserve">Origen y vigencia de precios</t>
  </si>
  <si>
    <t xml:space="preserve">Los precios listados corresponden a lista pública de Microsoft Azure en región US East, con referencia a junio de 2026.</t>
  </si>
  <si>
    <t xml:space="preserve">Los precios pueden variar hasta ±10-15% dependiendo de la región Azure seleccionada (Mexico Central, South Central US, East US 2, etc.).</t>
  </si>
  <si>
    <t xml:space="preserve">Los precios oficiales deben validarse en el momento de la contratación mediante la calculadora oficial de Azure.</t>
  </si>
  <si>
    <t xml:space="preserve">Precios de licencias por usuario (Power BI Pro, Entra ID) no incluyen descuentos por Enterprise Agreement, CSP o volumen.</t>
  </si>
  <si>
    <t xml:space="preserve">Códigos de color de la calculadora</t>
  </si>
  <si>
    <t xml:space="preserve">Amarillo claro: celdas de entrada modificables por el usuario (cantidades, Sí/No).</t>
  </si>
  <si>
    <t xml:space="preserve">Verde claro: filas de inicio de categoría (encabezado de categoría).</t>
  </si>
  <si>
    <t xml:space="preserve">Amarillo intenso: totales calculados.</t>
  </si>
  <si>
    <t xml:space="preserve">Azul: encabezados de columnas.</t>
  </si>
  <si>
    <t xml:space="preserve">Texto en color azul: valores de entrada del usuario. Texto en negro: fórmulas calculadas.</t>
  </si>
  <si>
    <t xml:space="preserve">Escenarios de referencia</t>
  </si>
  <si>
    <t xml:space="preserve">Piloto: implementación acotada de 3-6 meses para demostrar valor. Usa capacidad F2 PAYG con pausa, licencias Pro esenciales, monitoreo básico. Idealmente arranca con trial gratuito de Fabric.</t>
  </si>
  <si>
    <t xml:space="preserve">Producción Inicial: post-piloto con operación estable. Capacidad F4 reservada, agregando VPN, Entra ID P1, Defender y Purview base.</t>
  </si>
  <si>
    <t xml:space="preserve">Producción a Escala: cuando el número de consumidores justifica F64, se elimina la necesidad de Pro para consumidores y se agrega Sentinel, Firewall Standard y Purview ampliado.</t>
  </si>
  <si>
    <t xml:space="preserve">Componentes NO incluidos en esta calculadora</t>
  </si>
  <si>
    <t xml:space="preserve">Honorarios profesionales de consultoría e implementación (se cotizan por separado en la propuesta de servicios).</t>
  </si>
  <si>
    <t xml:space="preserve">ExpressRoute: solo aplicable a organizaciones con requisitos avanzados de conectividad; consultar precios por separado.</t>
  </si>
  <si>
    <t xml:space="preserve">Licencias Microsoft 365: se asume que el cliente ya cuenta con tenant activo.</t>
  </si>
  <si>
    <t xml:space="preserve">Costos de red por egress (transferencia de datos saliente): dependen del volumen real de tráfico.</t>
  </si>
  <si>
    <t xml:space="preserve">Servicios de terceros o marketplace (Databricks alternativo, herramientas de ETL adicionales, etc.).</t>
  </si>
  <si>
    <t xml:space="preserve">Capacitación adicional más allá de la incluida en la propuesta de servicios.</t>
  </si>
  <si>
    <t xml:space="preserve">Cómo usar esta calculadora</t>
  </si>
  <si>
    <t xml:space="preserve">1. Revise la hoja "Resumen" para ver los totales por escenario.</t>
  </si>
  <si>
    <t xml:space="preserve">2. En la hoja "Detalle" ajuste cantidades (columna F) o cambie Sí/No (columnas H, I, J) según necesidad.</t>
  </si>
  <si>
    <t xml:space="preserve">3. Los totales de la hoja "Resumen" se actualizarán automáticamente.</t>
  </si>
  <si>
    <t xml:space="preserve">4. Consulte "SKUs Fabric" para comparar tamaños de capacidad.</t>
  </si>
  <si>
    <t xml:space="preserve">5. Antes de presentar al cliente, valide los precios contra la calculadora oficial de Azure en la región y fecha correspondiente.</t>
  </si>
  <si>
    <t xml:space="preserve">Recomendaciones de optimización</t>
  </si>
  <si>
    <t xml:space="preserve">Aprovechar el trial gratuito de Microsoft Fabric (60 días) al inicio.</t>
  </si>
  <si>
    <t xml:space="preserve">Mantener PAYG durante el piloto con pausa automática fuera de horario.</t>
  </si>
  <si>
    <t xml:space="preserve">Migrar a Reservado solo cuando la utilización supere el 60% del tiempo.</t>
  </si>
  <si>
    <t xml:space="preserve">Monitorear el consumo de CUs con la Capacity Metrics App.</t>
  </si>
  <si>
    <t xml:space="preserve">Permanecer bajo F64 mientras los usuarios sean pocos; migrar a F64+ cuando el ahorro en Pro supere el costo incremental.</t>
  </si>
  <si>
    <t xml:space="preserve">Configurar budgets y alertas de costo en Azure Cost Management desde el día uno.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</si>
</sst>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($&quot;#,##0\);\-"/>
    <numFmt numFmtId="166" formatCode="\$#,##0.00;[RED]&quot;($&quot;#,##0.00\);\-"/>
    <numFmt numFmtId="167" formatCode="#,##0;[RED]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CBD"/>
      <name val="Arial"/>
      <family val="0"/>
      <charset val="1"/>
    </font>
    <font>
      <b val="true"/>
      <sz val="12"/>
      <color rgb="FF107C1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CBD"/>
        <bgColor rgb="FF008080"/>
      </patternFill>
    </fill>
    <fill>
      <patternFill patternType="solid">
        <fgColor rgb="FFD5E8F0"/>
        <bgColor rgb="FFE8F5E9"/>
      </patternFill>
    </fill>
    <fill>
      <patternFill patternType="solid">
        <fgColor rgb="FFFFF2CC"/>
        <bgColor rgb="FFFFFFCC"/>
      </patternFill>
    </fill>
    <fill>
      <patternFill patternType="solid">
        <fgColor rgb="FFE8F5E9"/>
        <bgColor rgb="FFD5E8F0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5E9"/>
      <rgbColor rgb="FF660066"/>
      <rgbColor rgb="FFFF8080"/>
      <rgbColor rgb="FF0F6CB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32"/>
    <col collapsed="false" customWidth="true" hidden="false" outlineLevel="0" max="6" min="6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/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/>
    <row r="9" customFormat="false" ht="21.75" hidden="false" customHeight="true" outlineLevel="0" collapsed="false"/>
    <row r="10" customFormat="false" ht="21.75" hidden="false" customHeight="true" outlineLevel="0" collapsed="false">
      <c r="A10" s="2" t="s">
        <v>10</v>
      </c>
      <c r="B10" s="2"/>
      <c r="C10" s="2"/>
      <c r="D10" s="2"/>
      <c r="E10" s="2"/>
      <c r="F10" s="2"/>
    </row>
    <row r="11" customFormat="false" ht="21.75" hidden="false" customHeight="true" outlineLevel="0" collapsed="false"/>
    <row r="12" customFormat="false" ht="21.75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</row>
    <row r="13" customFormat="false" ht="21.75" hidden="false" customHeight="true" outlineLevel="0" collapsed="false">
      <c r="A13" s="6" t="s">
        <v>17</v>
      </c>
      <c r="B13" s="7" t="s">
        <v>18</v>
      </c>
      <c r="C13" s="8" t="n">
        <f aca="false">SUMIF(Detalle!H:H,"Sí",Detalle!K:K)</f>
        <v>439.5</v>
      </c>
      <c r="D13" s="8" t="n">
        <f aca="false">C13*12</f>
        <v>5274</v>
      </c>
      <c r="E13" s="7" t="s">
        <v>19</v>
      </c>
      <c r="F13" s="7" t="s">
        <v>20</v>
      </c>
    </row>
    <row r="14" customFormat="false" ht="21.75" hidden="false" customHeight="true" outlineLevel="0" collapsed="false">
      <c r="A14" s="6" t="s">
        <v>21</v>
      </c>
      <c r="B14" s="7" t="s">
        <v>22</v>
      </c>
      <c r="C14" s="8" t="n">
        <f aca="false">SUMIF(Detalle!I:I,"Sí",Detalle!L:L)</f>
        <v>1985.9</v>
      </c>
      <c r="D14" s="8" t="n">
        <f aca="false">C14*12</f>
        <v>23830.8</v>
      </c>
      <c r="E14" s="7" t="s">
        <v>23</v>
      </c>
      <c r="F14" s="7" t="s">
        <v>24</v>
      </c>
    </row>
    <row r="15" customFormat="false" ht="21.75" hidden="false" customHeight="true" outlineLevel="0" collapsed="false">
      <c r="A15" s="6" t="s">
        <v>25</v>
      </c>
      <c r="B15" s="7" t="s">
        <v>26</v>
      </c>
      <c r="C15" s="8" t="n">
        <f aca="false">SUMIF(Detalle!J:J,"Sí",Detalle!M:M)</f>
        <v>8150.9</v>
      </c>
      <c r="D15" s="8" t="n">
        <f aca="false">C15*12</f>
        <v>97810.8</v>
      </c>
      <c r="E15" s="7" t="s">
        <v>27</v>
      </c>
      <c r="F15" s="7" t="s">
        <v>28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>
      <c r="A18" s="2" t="s">
        <v>29</v>
      </c>
      <c r="B18" s="2"/>
      <c r="C18" s="2"/>
      <c r="D18" s="2"/>
      <c r="E18" s="2"/>
      <c r="F18" s="2"/>
    </row>
    <row r="19" customFormat="false" ht="21.75" hidden="false" customHeight="true" outlineLevel="0" collapsed="false"/>
    <row r="20" customFormat="false" ht="21.75" hidden="false" customHeight="true" outlineLevel="0" collapsed="false">
      <c r="A20" s="5" t="s">
        <v>30</v>
      </c>
      <c r="B20" s="5" t="s">
        <v>17</v>
      </c>
      <c r="C20" s="5" t="s">
        <v>21</v>
      </c>
      <c r="D20" s="5" t="s">
        <v>25</v>
      </c>
      <c r="E20" s="5"/>
      <c r="F20" s="5"/>
    </row>
    <row r="21" customFormat="false" ht="21.75" hidden="false" customHeight="true" outlineLevel="0" collapsed="false">
      <c r="A21" s="9" t="s">
        <v>31</v>
      </c>
      <c r="B21" s="10" t="n">
        <f aca="false">SUMIFS(Detalle!K:K,Detalle!A:A,A21,Detalle!H:H,"Sí")</f>
        <v>131.5</v>
      </c>
      <c r="C21" s="10" t="n">
        <f aca="false">SUMIFS(Detalle!L:L,Detalle!A:A,A21,Detalle!I:I,"Sí")</f>
        <v>312</v>
      </c>
      <c r="D21" s="10" t="n">
        <f aca="false">SUMIFS(Detalle!M:M,Detalle!A:A,A21,Detalle!J:J,"Sí")</f>
        <v>4989</v>
      </c>
    </row>
    <row r="22" customFormat="false" ht="21.75" hidden="false" customHeight="true" outlineLevel="0" collapsed="false">
      <c r="A22" s="9" t="s">
        <v>32</v>
      </c>
      <c r="B22" s="10" t="n">
        <f aca="false">SUMIFS(Detalle!K:K,Detalle!A:A,A22,Detalle!H:H,"Sí")</f>
        <v>250</v>
      </c>
      <c r="C22" s="10" t="n">
        <f aca="false">SUMIFS(Detalle!L:L,Detalle!A:A,A22,Detalle!I:I,"Sí")</f>
        <v>250</v>
      </c>
      <c r="D22" s="10" t="n">
        <f aca="false">SUMIFS(Detalle!M:M,Detalle!A:A,A22,Detalle!J:J,"Sí")</f>
        <v>50</v>
      </c>
    </row>
    <row r="23" customFormat="false" ht="21.75" hidden="false" customHeight="true" outlineLevel="0" collapsed="false">
      <c r="A23" s="9" t="s">
        <v>33</v>
      </c>
      <c r="B23" s="10" t="n">
        <f aca="false">SUMIFS(Detalle!K:K,Detalle!A:A,A23,Detalle!H:H,"Sí")</f>
        <v>0</v>
      </c>
      <c r="C23" s="10" t="n">
        <f aca="false">SUMIFS(Detalle!L:L,Detalle!A:A,A23,Detalle!I:I,"Sí")</f>
        <v>595.9</v>
      </c>
      <c r="D23" s="10" t="n">
        <f aca="false">SUMIFS(Detalle!M:M,Detalle!A:A,A23,Detalle!J:J,"Sí")</f>
        <v>1688.9</v>
      </c>
    </row>
    <row r="24" customFormat="false" ht="21.75" hidden="false" customHeight="true" outlineLevel="0" collapsed="false">
      <c r="A24" s="9" t="s">
        <v>34</v>
      </c>
      <c r="B24" s="10" t="n">
        <f aca="false">SUMIFS(Detalle!K:K,Detalle!A:A,A24,Detalle!H:H,"Sí")</f>
        <v>0</v>
      </c>
      <c r="C24" s="10" t="n">
        <f aca="false">SUMIFS(Detalle!L:L,Detalle!A:A,A24,Detalle!I:I,"Sí")</f>
        <v>150</v>
      </c>
      <c r="D24" s="10" t="n">
        <f aca="false">SUMIFS(Detalle!M:M,Detalle!A:A,A24,Detalle!J:J,"Sí")</f>
        <v>225</v>
      </c>
    </row>
    <row r="25" customFormat="false" ht="21.75" hidden="false" customHeight="true" outlineLevel="0" collapsed="false">
      <c r="A25" s="9" t="s">
        <v>35</v>
      </c>
      <c r="B25" s="10" t="n">
        <f aca="false">SUMIFS(Detalle!K:K,Detalle!A:A,A25,Detalle!H:H,"Sí")</f>
        <v>25</v>
      </c>
      <c r="C25" s="10" t="n">
        <f aca="false">SUMIFS(Detalle!L:L,Detalle!A:A,A25,Detalle!I:I,"Sí")</f>
        <v>65</v>
      </c>
      <c r="D25" s="10" t="n">
        <f aca="false">SUMIFS(Detalle!M:M,Detalle!A:A,A25,Detalle!J:J,"Sí")</f>
        <v>215</v>
      </c>
    </row>
    <row r="26" customFormat="false" ht="21.75" hidden="false" customHeight="true" outlineLevel="0" collapsed="false">
      <c r="A26" s="9" t="s">
        <v>36</v>
      </c>
      <c r="B26" s="10" t="n">
        <f aca="false">SUMIFS(Detalle!K:K,Detalle!A:A,A26,Detalle!H:H,"Sí")</f>
        <v>33</v>
      </c>
      <c r="C26" s="10" t="n">
        <f aca="false">SUMIFS(Detalle!L:L,Detalle!A:A,A26,Detalle!I:I,"Sí")</f>
        <v>33</v>
      </c>
      <c r="D26" s="10" t="n">
        <f aca="false">SUMIFS(Detalle!M:M,Detalle!A:A,A26,Detalle!J:J,"Sí")</f>
        <v>103</v>
      </c>
    </row>
    <row r="27" customFormat="false" ht="21.75" hidden="false" customHeight="true" outlineLevel="0" collapsed="false">
      <c r="A27" s="9" t="s">
        <v>37</v>
      </c>
      <c r="B27" s="10" t="n">
        <f aca="false">SUMIFS(Detalle!K:K,Detalle!A:A,A27,Detalle!H:H,"Sí")</f>
        <v>0</v>
      </c>
      <c r="C27" s="10" t="n">
        <f aca="false">SUMIFS(Detalle!L:L,Detalle!A:A,A27,Detalle!I:I,"Sí")</f>
        <v>80</v>
      </c>
      <c r="D27" s="10" t="n">
        <f aca="false">SUMIFS(Detalle!M:M,Detalle!A:A,A27,Detalle!J:J,"Sí")</f>
        <v>80</v>
      </c>
    </row>
    <row r="28" customFormat="false" ht="21.75" hidden="false" customHeight="true" outlineLevel="0" collapsed="false">
      <c r="A28" s="9" t="s">
        <v>38</v>
      </c>
      <c r="B28" s="10" t="n">
        <f aca="false">SUMIFS(Detalle!K:K,Detalle!A:A,A28,Detalle!H:H,"Sí")</f>
        <v>0</v>
      </c>
      <c r="C28" s="10" t="n">
        <f aca="false">SUMIFS(Detalle!L:L,Detalle!A:A,A28,Detalle!I:I,"Sí")</f>
        <v>500</v>
      </c>
      <c r="D28" s="10" t="n">
        <f aca="false">SUMIFS(Detalle!M:M,Detalle!A:A,A28,Detalle!J:J,"Sí")</f>
        <v>800</v>
      </c>
    </row>
    <row r="29" customFormat="false" ht="21.75" hidden="false" customHeight="true" outlineLevel="0" collapsed="false">
      <c r="A29" s="11" t="s">
        <v>39</v>
      </c>
      <c r="B29" s="8" t="n">
        <f aca="false">SUM(B21:B28)</f>
        <v>439.5</v>
      </c>
      <c r="C29" s="8" t="n">
        <f aca="false">SUM(C21:C28)</f>
        <v>1985.9</v>
      </c>
      <c r="D29" s="8" t="n">
        <f aca="false">SUM(D21:D28)</f>
        <v>8150.9</v>
      </c>
    </row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>
      <c r="A32" s="12" t="s">
        <v>40</v>
      </c>
    </row>
    <row r="33" customFormat="false" ht="21.75" hidden="false" customHeight="true" outlineLevel="0" collapsed="false">
      <c r="A33" s="13" t="s">
        <v>41</v>
      </c>
      <c r="B33" s="13"/>
      <c r="C33" s="13"/>
      <c r="D33" s="13"/>
      <c r="E33" s="13"/>
      <c r="F33" s="13"/>
    </row>
    <row r="34" customFormat="false" ht="21.75" hidden="false" customHeight="true" outlineLevel="0" collapsed="false">
      <c r="A34" s="13" t="s">
        <v>42</v>
      </c>
      <c r="B34" s="13"/>
      <c r="C34" s="13"/>
      <c r="D34" s="13"/>
      <c r="E34" s="13"/>
      <c r="F34" s="13"/>
    </row>
    <row r="35" customFormat="false" ht="21.75" hidden="false" customHeight="true" outlineLevel="0" collapsed="false">
      <c r="A35" s="13" t="s">
        <v>43</v>
      </c>
      <c r="B35" s="13"/>
      <c r="C35" s="13"/>
      <c r="D35" s="13"/>
      <c r="E35" s="13"/>
      <c r="F35" s="13"/>
    </row>
    <row r="36" customFormat="false" ht="21.75" hidden="false" customHeight="true" outlineLevel="0" collapsed="false">
      <c r="A36" s="13" t="s">
        <v>44</v>
      </c>
      <c r="B36" s="13"/>
      <c r="C36" s="13"/>
      <c r="D36" s="13"/>
      <c r="E36" s="13"/>
      <c r="F36" s="13"/>
    </row>
    <row r="37" customFormat="false" ht="21.75" hidden="false" customHeight="true" outlineLevel="0" collapsed="false">
      <c r="A37" s="13" t="s">
        <v>45</v>
      </c>
      <c r="B37" s="13"/>
      <c r="C37" s="13"/>
      <c r="D37" s="13"/>
      <c r="E37" s="13"/>
      <c r="F37" s="13"/>
    </row>
    <row r="38" customFormat="false" ht="21.75" hidden="false" customHeight="true" outlineLevel="0" collapsed="false">
      <c r="A38" s="13" t="s">
        <v>46</v>
      </c>
      <c r="B38" s="13"/>
      <c r="C38" s="13"/>
      <c r="D38" s="13"/>
      <c r="E38" s="13"/>
      <c r="F38" s="13"/>
    </row>
    <row r="39" customFormat="false" ht="21.75" hidden="false" customHeight="true" outlineLevel="0" collapsed="false"/>
  </sheetData>
  <mergeCells count="10">
    <mergeCell ref="A1:F1"/>
    <mergeCell ref="A2:F2"/>
    <mergeCell ref="A10:F10"/>
    <mergeCell ref="A18:F18"/>
    <mergeCell ref="A33:F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3" min="12" style="0" width="16"/>
    <col collapsed="false" customWidth="true" hidden="false" outlineLevel="0" max="14" min="14" style="0" width="60"/>
  </cols>
  <sheetData>
    <row r="1" customFormat="false" ht="25.5" hidden="false" customHeight="true" outlineLevel="0" collapsed="false">
      <c r="A1" s="14" t="s">
        <v>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15" hidden="false" customHeight="false" outlineLevel="0" collapsed="false">
      <c r="A2" s="15" t="s">
        <v>48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4" customFormat="false" ht="42" hidden="false" customHeight="true" outlineLevel="0" collapsed="false">
      <c r="A4" s="5" t="s">
        <v>30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13</v>
      </c>
      <c r="H4" s="5" t="s">
        <v>54</v>
      </c>
      <c r="I4" s="5" t="s">
        <v>55</v>
      </c>
      <c r="J4" s="5" t="s">
        <v>56</v>
      </c>
      <c r="K4" s="5" t="s">
        <v>57</v>
      </c>
      <c r="L4" s="5" t="s">
        <v>58</v>
      </c>
      <c r="M4" s="5" t="s">
        <v>59</v>
      </c>
      <c r="N4" s="5" t="s">
        <v>60</v>
      </c>
    </row>
    <row r="5" customFormat="false" ht="33.75" hidden="false" customHeight="true" outlineLevel="0" collapsed="false">
      <c r="A5" s="16" t="s">
        <v>31</v>
      </c>
      <c r="B5" s="7" t="s">
        <v>61</v>
      </c>
      <c r="C5" s="7" t="s">
        <v>62</v>
      </c>
      <c r="D5" s="7" t="s">
        <v>63</v>
      </c>
      <c r="E5" s="17" t="n">
        <v>131.5</v>
      </c>
      <c r="F5" s="18" t="n">
        <v>1</v>
      </c>
      <c r="G5" s="17" t="n">
        <f aca="false">E5*F5</f>
        <v>131.5</v>
      </c>
      <c r="H5" s="19" t="s">
        <v>64</v>
      </c>
      <c r="I5" s="19" t="s">
        <v>65</v>
      </c>
      <c r="J5" s="19" t="s">
        <v>65</v>
      </c>
      <c r="K5" s="17" t="n">
        <f aca="false">IF(H5="Sí",G5,0)</f>
        <v>131.5</v>
      </c>
      <c r="L5" s="17" t="n">
        <f aca="false">IF(I5="Sí",G5,0)</f>
        <v>0</v>
      </c>
      <c r="M5" s="17" t="n">
        <f aca="false">IF(J5="Sí",G5,0)</f>
        <v>0</v>
      </c>
      <c r="N5" s="20" t="s">
        <v>66</v>
      </c>
    </row>
    <row r="6" customFormat="false" ht="33.75" hidden="false" customHeight="true" outlineLevel="0" collapsed="false">
      <c r="A6" s="9" t="s">
        <v>31</v>
      </c>
      <c r="B6" s="7" t="s">
        <v>67</v>
      </c>
      <c r="C6" s="7" t="s">
        <v>68</v>
      </c>
      <c r="D6" s="7" t="s">
        <v>63</v>
      </c>
      <c r="E6" s="17" t="n">
        <v>312</v>
      </c>
      <c r="F6" s="18" t="n">
        <v>1</v>
      </c>
      <c r="G6" s="17" t="n">
        <f aca="false">E6*F6</f>
        <v>312</v>
      </c>
      <c r="H6" s="19" t="s">
        <v>65</v>
      </c>
      <c r="I6" s="19" t="s">
        <v>64</v>
      </c>
      <c r="J6" s="19" t="s">
        <v>65</v>
      </c>
      <c r="K6" s="17" t="n">
        <f aca="false">IF(H6="Sí",G6,0)</f>
        <v>0</v>
      </c>
      <c r="L6" s="17" t="n">
        <f aca="false">IF(I6="Sí",G6,0)</f>
        <v>312</v>
      </c>
      <c r="M6" s="17" t="n">
        <f aca="false">IF(J6="Sí",G6,0)</f>
        <v>0</v>
      </c>
      <c r="N6" s="20" t="s">
        <v>69</v>
      </c>
    </row>
    <row r="7" customFormat="false" ht="33.75" hidden="false" customHeight="true" outlineLevel="0" collapsed="false">
      <c r="A7" s="9" t="s">
        <v>31</v>
      </c>
      <c r="B7" s="7" t="s">
        <v>70</v>
      </c>
      <c r="C7" s="7" t="s">
        <v>68</v>
      </c>
      <c r="D7" s="7" t="s">
        <v>63</v>
      </c>
      <c r="E7" s="17" t="n">
        <v>4989</v>
      </c>
      <c r="F7" s="18" t="n">
        <v>1</v>
      </c>
      <c r="G7" s="17" t="n">
        <f aca="false">E7*F7</f>
        <v>4989</v>
      </c>
      <c r="H7" s="19" t="s">
        <v>65</v>
      </c>
      <c r="I7" s="19" t="s">
        <v>65</v>
      </c>
      <c r="J7" s="19" t="s">
        <v>64</v>
      </c>
      <c r="K7" s="17" t="n">
        <f aca="false">IF(H7="Sí",G7,0)</f>
        <v>0</v>
      </c>
      <c r="L7" s="17" t="n">
        <f aca="false">IF(I7="Sí",G7,0)</f>
        <v>0</v>
      </c>
      <c r="M7" s="17" t="n">
        <f aca="false">IF(J7="Sí",G7,0)</f>
        <v>4989</v>
      </c>
      <c r="N7" s="20" t="s">
        <v>71</v>
      </c>
    </row>
    <row r="8" customFormat="false" ht="33.75" hidden="false" customHeight="true" outlineLevel="0" collapsed="false">
      <c r="A8" s="16" t="s">
        <v>32</v>
      </c>
      <c r="B8" s="7" t="s">
        <v>72</v>
      </c>
      <c r="C8" s="7" t="s">
        <v>73</v>
      </c>
      <c r="D8" s="7" t="s">
        <v>74</v>
      </c>
      <c r="E8" s="17" t="n">
        <v>10</v>
      </c>
      <c r="F8" s="18" t="n">
        <v>5</v>
      </c>
      <c r="G8" s="17" t="n">
        <f aca="false">E8*F8</f>
        <v>50</v>
      </c>
      <c r="H8" s="19" t="s">
        <v>64</v>
      </c>
      <c r="I8" s="19" t="s">
        <v>64</v>
      </c>
      <c r="J8" s="19" t="s">
        <v>64</v>
      </c>
      <c r="K8" s="17" t="n">
        <f aca="false">IF(H8="Sí",G8,0)</f>
        <v>50</v>
      </c>
      <c r="L8" s="17" t="n">
        <f aca="false">IF(I8="Sí",G8,0)</f>
        <v>50</v>
      </c>
      <c r="M8" s="17" t="n">
        <f aca="false">IF(J8="Sí",G8,0)</f>
        <v>50</v>
      </c>
      <c r="N8" s="20" t="s">
        <v>75</v>
      </c>
    </row>
    <row r="9" customFormat="false" ht="33.75" hidden="false" customHeight="true" outlineLevel="0" collapsed="false">
      <c r="A9" s="9" t="s">
        <v>32</v>
      </c>
      <c r="B9" s="7" t="s">
        <v>76</v>
      </c>
      <c r="C9" s="7" t="s">
        <v>73</v>
      </c>
      <c r="D9" s="7" t="s">
        <v>74</v>
      </c>
      <c r="E9" s="17" t="n">
        <v>10</v>
      </c>
      <c r="F9" s="18" t="n">
        <v>20</v>
      </c>
      <c r="G9" s="17" t="n">
        <f aca="false">E9*F9</f>
        <v>200</v>
      </c>
      <c r="H9" s="19" t="s">
        <v>64</v>
      </c>
      <c r="I9" s="19" t="s">
        <v>64</v>
      </c>
      <c r="J9" s="19" t="s">
        <v>65</v>
      </c>
      <c r="K9" s="17" t="n">
        <f aca="false">IF(H9="Sí",G9,0)</f>
        <v>200</v>
      </c>
      <c r="L9" s="17" t="n">
        <f aca="false">IF(I9="Sí",G9,0)</f>
        <v>200</v>
      </c>
      <c r="M9" s="17" t="n">
        <f aca="false">IF(J9="Sí",G9,0)</f>
        <v>0</v>
      </c>
      <c r="N9" s="20" t="s">
        <v>77</v>
      </c>
    </row>
    <row r="10" customFormat="false" ht="33.75" hidden="false" customHeight="true" outlineLevel="0" collapsed="false">
      <c r="A10" s="16" t="s">
        <v>33</v>
      </c>
      <c r="B10" s="7" t="s">
        <v>78</v>
      </c>
      <c r="C10" s="7" t="s">
        <v>79</v>
      </c>
      <c r="D10" s="7" t="s">
        <v>63</v>
      </c>
      <c r="E10" s="17" t="n">
        <v>0</v>
      </c>
      <c r="F10" s="18" t="n">
        <v>1</v>
      </c>
      <c r="G10" s="17" t="n">
        <f aca="false">E10*F10</f>
        <v>0</v>
      </c>
      <c r="H10" s="19" t="s">
        <v>64</v>
      </c>
      <c r="I10" s="19" t="s">
        <v>64</v>
      </c>
      <c r="J10" s="19" t="s">
        <v>64</v>
      </c>
      <c r="K10" s="17" t="n">
        <f aca="false">IF(H10="Sí",G10,0)</f>
        <v>0</v>
      </c>
      <c r="L10" s="17" t="n">
        <f aca="false">IF(I10="Sí",G10,0)</f>
        <v>0</v>
      </c>
      <c r="M10" s="17" t="n">
        <f aca="false">IF(J10="Sí",G10,0)</f>
        <v>0</v>
      </c>
      <c r="N10" s="20" t="s">
        <v>80</v>
      </c>
    </row>
    <row r="11" customFormat="false" ht="33.75" hidden="false" customHeight="true" outlineLevel="0" collapsed="false">
      <c r="A11" s="9" t="s">
        <v>33</v>
      </c>
      <c r="B11" s="7" t="s">
        <v>81</v>
      </c>
      <c r="C11" s="7" t="s">
        <v>82</v>
      </c>
      <c r="D11" s="7" t="s">
        <v>63</v>
      </c>
      <c r="E11" s="17" t="n">
        <v>0</v>
      </c>
      <c r="F11" s="18" t="n">
        <v>1</v>
      </c>
      <c r="G11" s="17" t="n">
        <f aca="false">E11*F11</f>
        <v>0</v>
      </c>
      <c r="H11" s="19" t="s">
        <v>64</v>
      </c>
      <c r="I11" s="19" t="s">
        <v>64</v>
      </c>
      <c r="J11" s="19" t="s">
        <v>64</v>
      </c>
      <c r="K11" s="17" t="n">
        <f aca="false">IF(H11="Sí",G11,0)</f>
        <v>0</v>
      </c>
      <c r="L11" s="17" t="n">
        <f aca="false">IF(I11="Sí",G11,0)</f>
        <v>0</v>
      </c>
      <c r="M11" s="17" t="n">
        <f aca="false">IF(J11="Sí",G11,0)</f>
        <v>0</v>
      </c>
      <c r="N11" s="20" t="s">
        <v>83</v>
      </c>
    </row>
    <row r="12" customFormat="false" ht="33.75" hidden="false" customHeight="true" outlineLevel="0" collapsed="false">
      <c r="A12" s="9" t="s">
        <v>33</v>
      </c>
      <c r="B12" s="7" t="s">
        <v>84</v>
      </c>
      <c r="C12" s="7" t="s">
        <v>85</v>
      </c>
      <c r="D12" s="7" t="s">
        <v>63</v>
      </c>
      <c r="E12" s="17" t="n">
        <v>138.7</v>
      </c>
      <c r="F12" s="18" t="n">
        <v>1</v>
      </c>
      <c r="G12" s="17" t="n">
        <f aca="false">E12*F12</f>
        <v>138.7</v>
      </c>
      <c r="H12" s="19" t="s">
        <v>65</v>
      </c>
      <c r="I12" s="19" t="s">
        <v>64</v>
      </c>
      <c r="J12" s="19" t="s">
        <v>65</v>
      </c>
      <c r="K12" s="17" t="n">
        <f aca="false">IF(H12="Sí",G12,0)</f>
        <v>0</v>
      </c>
      <c r="L12" s="17" t="n">
        <f aca="false">IF(I12="Sí",G12,0)</f>
        <v>138.7</v>
      </c>
      <c r="M12" s="17" t="n">
        <f aca="false">IF(J12="Sí",G12,0)</f>
        <v>0</v>
      </c>
      <c r="N12" s="20" t="s">
        <v>86</v>
      </c>
    </row>
    <row r="13" customFormat="false" ht="33.75" hidden="false" customHeight="true" outlineLevel="0" collapsed="false">
      <c r="A13" s="9" t="s">
        <v>33</v>
      </c>
      <c r="B13" s="7" t="s">
        <v>87</v>
      </c>
      <c r="C13" s="7" t="s">
        <v>88</v>
      </c>
      <c r="D13" s="7" t="s">
        <v>63</v>
      </c>
      <c r="E13" s="17" t="n">
        <v>357.7</v>
      </c>
      <c r="F13" s="18" t="n">
        <v>1</v>
      </c>
      <c r="G13" s="17" t="n">
        <f aca="false">E13*F13</f>
        <v>357.7</v>
      </c>
      <c r="H13" s="19" t="s">
        <v>65</v>
      </c>
      <c r="I13" s="19" t="s">
        <v>65</v>
      </c>
      <c r="J13" s="19" t="s">
        <v>64</v>
      </c>
      <c r="K13" s="17" t="n">
        <f aca="false">IF(H13="Sí",G13,0)</f>
        <v>0</v>
      </c>
      <c r="L13" s="17" t="n">
        <f aca="false">IF(I13="Sí",G13,0)</f>
        <v>0</v>
      </c>
      <c r="M13" s="17" t="n">
        <f aca="false">IF(J13="Sí",G13,0)</f>
        <v>357.7</v>
      </c>
      <c r="N13" s="20" t="s">
        <v>89</v>
      </c>
    </row>
    <row r="14" customFormat="false" ht="33.75" hidden="false" customHeight="true" outlineLevel="0" collapsed="false">
      <c r="A14" s="9" t="s">
        <v>33</v>
      </c>
      <c r="B14" s="7" t="s">
        <v>90</v>
      </c>
      <c r="C14" s="7" t="s">
        <v>91</v>
      </c>
      <c r="D14" s="7" t="s">
        <v>92</v>
      </c>
      <c r="E14" s="17" t="n">
        <v>7.3</v>
      </c>
      <c r="F14" s="18" t="n">
        <v>4</v>
      </c>
      <c r="G14" s="17" t="n">
        <f aca="false">E14*F14</f>
        <v>29.2</v>
      </c>
      <c r="H14" s="19" t="s">
        <v>65</v>
      </c>
      <c r="I14" s="19" t="s">
        <v>64</v>
      </c>
      <c r="J14" s="19" t="s">
        <v>64</v>
      </c>
      <c r="K14" s="17" t="n">
        <f aca="false">IF(H14="Sí",G14,0)</f>
        <v>0</v>
      </c>
      <c r="L14" s="17" t="n">
        <f aca="false">IF(I14="Sí",G14,0)</f>
        <v>29.2</v>
      </c>
      <c r="M14" s="17" t="n">
        <f aca="false">IF(J14="Sí",G14,0)</f>
        <v>29.2</v>
      </c>
      <c r="N14" s="20" t="s">
        <v>93</v>
      </c>
    </row>
    <row r="15" customFormat="false" ht="33.75" hidden="false" customHeight="true" outlineLevel="0" collapsed="false">
      <c r="A15" s="9" t="s">
        <v>33</v>
      </c>
      <c r="B15" s="7" t="s">
        <v>94</v>
      </c>
      <c r="C15" s="7" t="s">
        <v>95</v>
      </c>
      <c r="D15" s="7" t="s">
        <v>63</v>
      </c>
      <c r="E15" s="17" t="n">
        <v>288</v>
      </c>
      <c r="F15" s="18" t="n">
        <v>1</v>
      </c>
      <c r="G15" s="17" t="n">
        <f aca="false">E15*F15</f>
        <v>288</v>
      </c>
      <c r="H15" s="19" t="s">
        <v>65</v>
      </c>
      <c r="I15" s="19" t="s">
        <v>64</v>
      </c>
      <c r="J15" s="19" t="s">
        <v>65</v>
      </c>
      <c r="K15" s="17" t="n">
        <f aca="false">IF(H15="Sí",G15,0)</f>
        <v>0</v>
      </c>
      <c r="L15" s="17" t="n">
        <f aca="false">IF(I15="Sí",G15,0)</f>
        <v>288</v>
      </c>
      <c r="M15" s="17" t="n">
        <f aca="false">IF(J15="Sí",G15,0)</f>
        <v>0</v>
      </c>
      <c r="N15" s="20" t="s">
        <v>96</v>
      </c>
    </row>
    <row r="16" customFormat="false" ht="33.75" hidden="false" customHeight="true" outlineLevel="0" collapsed="false">
      <c r="A16" s="9" t="s">
        <v>33</v>
      </c>
      <c r="B16" s="7" t="s">
        <v>97</v>
      </c>
      <c r="C16" s="7" t="s">
        <v>98</v>
      </c>
      <c r="D16" s="7" t="s">
        <v>63</v>
      </c>
      <c r="E16" s="17" t="n">
        <v>912</v>
      </c>
      <c r="F16" s="18" t="n">
        <v>1</v>
      </c>
      <c r="G16" s="17" t="n">
        <f aca="false">E16*F16</f>
        <v>912</v>
      </c>
      <c r="H16" s="19" t="s">
        <v>65</v>
      </c>
      <c r="I16" s="19" t="s">
        <v>65</v>
      </c>
      <c r="J16" s="19" t="s">
        <v>64</v>
      </c>
      <c r="K16" s="17" t="n">
        <f aca="false">IF(H16="Sí",G16,0)</f>
        <v>0</v>
      </c>
      <c r="L16" s="17" t="n">
        <f aca="false">IF(I16="Sí",G16,0)</f>
        <v>0</v>
      </c>
      <c r="M16" s="17" t="n">
        <f aca="false">IF(J16="Sí",G16,0)</f>
        <v>912</v>
      </c>
      <c r="N16" s="20" t="s">
        <v>99</v>
      </c>
    </row>
    <row r="17" customFormat="false" ht="33.75" hidden="false" customHeight="true" outlineLevel="0" collapsed="false">
      <c r="A17" s="9" t="s">
        <v>33</v>
      </c>
      <c r="B17" s="7" t="s">
        <v>100</v>
      </c>
      <c r="C17" s="7" t="s">
        <v>101</v>
      </c>
      <c r="D17" s="7" t="s">
        <v>63</v>
      </c>
      <c r="E17" s="17" t="n">
        <v>140</v>
      </c>
      <c r="F17" s="18" t="n">
        <v>1</v>
      </c>
      <c r="G17" s="17" t="n">
        <f aca="false">E17*F17</f>
        <v>140</v>
      </c>
      <c r="H17" s="19" t="s">
        <v>65</v>
      </c>
      <c r="I17" s="19" t="s">
        <v>64</v>
      </c>
      <c r="J17" s="19" t="s">
        <v>64</v>
      </c>
      <c r="K17" s="17" t="n">
        <f aca="false">IF(H17="Sí",G17,0)</f>
        <v>0</v>
      </c>
      <c r="L17" s="17" t="n">
        <f aca="false">IF(I17="Sí",G17,0)</f>
        <v>140</v>
      </c>
      <c r="M17" s="17" t="n">
        <f aca="false">IF(J17="Sí",G17,0)</f>
        <v>140</v>
      </c>
      <c r="N17" s="20" t="s">
        <v>102</v>
      </c>
    </row>
    <row r="18" customFormat="false" ht="33.75" hidden="false" customHeight="true" outlineLevel="0" collapsed="false">
      <c r="A18" s="9" t="s">
        <v>33</v>
      </c>
      <c r="B18" s="7" t="s">
        <v>103</v>
      </c>
      <c r="C18" s="7" t="s">
        <v>104</v>
      </c>
      <c r="D18" s="7" t="s">
        <v>63</v>
      </c>
      <c r="E18" s="17" t="n">
        <v>250</v>
      </c>
      <c r="F18" s="18" t="n">
        <v>1</v>
      </c>
      <c r="G18" s="17" t="n">
        <f aca="false">E18*F18</f>
        <v>250</v>
      </c>
      <c r="H18" s="19" t="s">
        <v>65</v>
      </c>
      <c r="I18" s="19" t="s">
        <v>65</v>
      </c>
      <c r="J18" s="19" t="s">
        <v>64</v>
      </c>
      <c r="K18" s="17" t="n">
        <f aca="false">IF(H18="Sí",G18,0)</f>
        <v>0</v>
      </c>
      <c r="L18" s="17" t="n">
        <f aca="false">IF(I18="Sí",G18,0)</f>
        <v>0</v>
      </c>
      <c r="M18" s="17" t="n">
        <f aca="false">IF(J18="Sí",G18,0)</f>
        <v>250</v>
      </c>
      <c r="N18" s="20" t="s">
        <v>105</v>
      </c>
    </row>
    <row r="19" customFormat="false" ht="33.75" hidden="false" customHeight="true" outlineLevel="0" collapsed="false">
      <c r="A19" s="16" t="s">
        <v>34</v>
      </c>
      <c r="B19" s="7" t="s">
        <v>106</v>
      </c>
      <c r="C19" s="7" t="s">
        <v>107</v>
      </c>
      <c r="D19" s="7" t="s">
        <v>63</v>
      </c>
      <c r="E19" s="17" t="n">
        <v>0</v>
      </c>
      <c r="F19" s="18" t="n">
        <v>1</v>
      </c>
      <c r="G19" s="17" t="n">
        <f aca="false">E19*F19</f>
        <v>0</v>
      </c>
      <c r="H19" s="19" t="s">
        <v>64</v>
      </c>
      <c r="I19" s="19" t="s">
        <v>65</v>
      </c>
      <c r="J19" s="19" t="s">
        <v>65</v>
      </c>
      <c r="K19" s="17" t="n">
        <f aca="false">IF(H19="Sí",G19,0)</f>
        <v>0</v>
      </c>
      <c r="L19" s="17" t="n">
        <f aca="false">IF(I19="Sí",G19,0)</f>
        <v>0</v>
      </c>
      <c r="M19" s="17" t="n">
        <f aca="false">IF(J19="Sí",G19,0)</f>
        <v>0</v>
      </c>
      <c r="N19" s="20" t="s">
        <v>108</v>
      </c>
    </row>
    <row r="20" customFormat="false" ht="33.75" hidden="false" customHeight="true" outlineLevel="0" collapsed="false">
      <c r="A20" s="9" t="s">
        <v>34</v>
      </c>
      <c r="B20" s="7" t="s">
        <v>109</v>
      </c>
      <c r="C20" s="7" t="s">
        <v>110</v>
      </c>
      <c r="D20" s="7" t="s">
        <v>74</v>
      </c>
      <c r="E20" s="17" t="n">
        <v>6</v>
      </c>
      <c r="F20" s="18" t="n">
        <v>25</v>
      </c>
      <c r="G20" s="17" t="n">
        <f aca="false">E20*F20</f>
        <v>150</v>
      </c>
      <c r="H20" s="19" t="s">
        <v>65</v>
      </c>
      <c r="I20" s="19" t="s">
        <v>64</v>
      </c>
      <c r="J20" s="19" t="s">
        <v>65</v>
      </c>
      <c r="K20" s="17" t="n">
        <f aca="false">IF(H20="Sí",G20,0)</f>
        <v>0</v>
      </c>
      <c r="L20" s="17" t="n">
        <f aca="false">IF(I20="Sí",G20,0)</f>
        <v>150</v>
      </c>
      <c r="M20" s="17" t="n">
        <f aca="false">IF(J20="Sí",G20,0)</f>
        <v>0</v>
      </c>
      <c r="N20" s="20" t="s">
        <v>111</v>
      </c>
    </row>
    <row r="21" customFormat="false" ht="33.75" hidden="false" customHeight="true" outlineLevel="0" collapsed="false">
      <c r="A21" s="9" t="s">
        <v>34</v>
      </c>
      <c r="B21" s="7" t="s">
        <v>112</v>
      </c>
      <c r="C21" s="7" t="s">
        <v>110</v>
      </c>
      <c r="D21" s="7" t="s">
        <v>74</v>
      </c>
      <c r="E21" s="17" t="n">
        <v>9</v>
      </c>
      <c r="F21" s="18" t="n">
        <v>25</v>
      </c>
      <c r="G21" s="17" t="n">
        <f aca="false">E21*F21</f>
        <v>225</v>
      </c>
      <c r="H21" s="19" t="s">
        <v>65</v>
      </c>
      <c r="I21" s="19" t="s">
        <v>65</v>
      </c>
      <c r="J21" s="19" t="s">
        <v>64</v>
      </c>
      <c r="K21" s="17" t="n">
        <f aca="false">IF(H21="Sí",G21,0)</f>
        <v>0</v>
      </c>
      <c r="L21" s="17" t="n">
        <f aca="false">IF(I21="Sí",G21,0)</f>
        <v>0</v>
      </c>
      <c r="M21" s="17" t="n">
        <f aca="false">IF(J21="Sí",G21,0)</f>
        <v>225</v>
      </c>
      <c r="N21" s="20" t="s">
        <v>113</v>
      </c>
    </row>
    <row r="22" customFormat="false" ht="33.75" hidden="false" customHeight="true" outlineLevel="0" collapsed="false">
      <c r="A22" s="9" t="s">
        <v>34</v>
      </c>
      <c r="B22" s="7" t="s">
        <v>114</v>
      </c>
      <c r="C22" s="7" t="s">
        <v>115</v>
      </c>
      <c r="D22" s="7" t="s">
        <v>63</v>
      </c>
      <c r="E22" s="17" t="n">
        <v>0</v>
      </c>
      <c r="F22" s="18" t="n">
        <v>1</v>
      </c>
      <c r="G22" s="17" t="n">
        <f aca="false">E22*F22</f>
        <v>0</v>
      </c>
      <c r="H22" s="19" t="s">
        <v>65</v>
      </c>
      <c r="I22" s="19" t="s">
        <v>64</v>
      </c>
      <c r="J22" s="19" t="s">
        <v>64</v>
      </c>
      <c r="K22" s="17" t="n">
        <f aca="false">IF(H22="Sí",G22,0)</f>
        <v>0</v>
      </c>
      <c r="L22" s="17" t="n">
        <f aca="false">IF(I22="Sí",G22,0)</f>
        <v>0</v>
      </c>
      <c r="M22" s="17" t="n">
        <f aca="false">IF(J22="Sí",G22,0)</f>
        <v>0</v>
      </c>
      <c r="N22" s="20" t="s">
        <v>116</v>
      </c>
    </row>
    <row r="23" customFormat="false" ht="33.75" hidden="false" customHeight="true" outlineLevel="0" collapsed="false">
      <c r="A23" s="16" t="s">
        <v>35</v>
      </c>
      <c r="B23" s="7" t="s">
        <v>117</v>
      </c>
      <c r="C23" s="7" t="s">
        <v>118</v>
      </c>
      <c r="D23" s="7" t="s">
        <v>63</v>
      </c>
      <c r="E23" s="17" t="n">
        <v>10</v>
      </c>
      <c r="F23" s="18" t="n">
        <v>1</v>
      </c>
      <c r="G23" s="17" t="n">
        <f aca="false">E23*F23</f>
        <v>10</v>
      </c>
      <c r="H23" s="19" t="s">
        <v>64</v>
      </c>
      <c r="I23" s="19" t="s">
        <v>64</v>
      </c>
      <c r="J23" s="19" t="s">
        <v>64</v>
      </c>
      <c r="K23" s="17" t="n">
        <f aca="false">IF(H23="Sí",G23,0)</f>
        <v>10</v>
      </c>
      <c r="L23" s="17" t="n">
        <f aca="false">IF(I23="Sí",G23,0)</f>
        <v>10</v>
      </c>
      <c r="M23" s="17" t="n">
        <f aca="false">IF(J23="Sí",G23,0)</f>
        <v>10</v>
      </c>
      <c r="N23" s="20" t="s">
        <v>119</v>
      </c>
    </row>
    <row r="24" customFormat="false" ht="33.75" hidden="false" customHeight="true" outlineLevel="0" collapsed="false">
      <c r="A24" s="9" t="s">
        <v>35</v>
      </c>
      <c r="B24" s="7" t="s">
        <v>120</v>
      </c>
      <c r="C24" s="7" t="s">
        <v>121</v>
      </c>
      <c r="D24" s="7" t="s">
        <v>122</v>
      </c>
      <c r="E24" s="17" t="n">
        <v>15</v>
      </c>
      <c r="F24" s="18" t="n">
        <v>2</v>
      </c>
      <c r="G24" s="17" t="n">
        <f aca="false">E24*F24</f>
        <v>30</v>
      </c>
      <c r="H24" s="19" t="s">
        <v>65</v>
      </c>
      <c r="I24" s="19" t="s">
        <v>64</v>
      </c>
      <c r="J24" s="19" t="s">
        <v>64</v>
      </c>
      <c r="K24" s="17" t="n">
        <f aca="false">IF(H24="Sí",G24,0)</f>
        <v>0</v>
      </c>
      <c r="L24" s="17" t="n">
        <f aca="false">IF(I24="Sí",G24,0)</f>
        <v>30</v>
      </c>
      <c r="M24" s="17" t="n">
        <f aca="false">IF(J24="Sí",G24,0)</f>
        <v>30</v>
      </c>
      <c r="N24" s="20" t="s">
        <v>123</v>
      </c>
    </row>
    <row r="25" customFormat="false" ht="33.75" hidden="false" customHeight="true" outlineLevel="0" collapsed="false">
      <c r="A25" s="9" t="s">
        <v>35</v>
      </c>
      <c r="B25" s="7" t="s">
        <v>124</v>
      </c>
      <c r="C25" s="7" t="s">
        <v>125</v>
      </c>
      <c r="D25" s="7" t="s">
        <v>122</v>
      </c>
      <c r="E25" s="17" t="n">
        <v>15</v>
      </c>
      <c r="F25" s="18" t="n">
        <v>1</v>
      </c>
      <c r="G25" s="17" t="n">
        <f aca="false">E25*F25</f>
        <v>15</v>
      </c>
      <c r="H25" s="19" t="s">
        <v>64</v>
      </c>
      <c r="I25" s="19" t="s">
        <v>64</v>
      </c>
      <c r="J25" s="19" t="s">
        <v>64</v>
      </c>
      <c r="K25" s="17" t="n">
        <f aca="false">IF(H25="Sí",G25,0)</f>
        <v>15</v>
      </c>
      <c r="L25" s="17" t="n">
        <f aca="false">IF(I25="Sí",G25,0)</f>
        <v>15</v>
      </c>
      <c r="M25" s="17" t="n">
        <f aca="false">IF(J25="Sí",G25,0)</f>
        <v>15</v>
      </c>
      <c r="N25" s="20" t="s">
        <v>126</v>
      </c>
    </row>
    <row r="26" customFormat="false" ht="33.75" hidden="false" customHeight="true" outlineLevel="0" collapsed="false">
      <c r="A26" s="9" t="s">
        <v>35</v>
      </c>
      <c r="B26" s="7" t="s">
        <v>127</v>
      </c>
      <c r="C26" s="7" t="s">
        <v>128</v>
      </c>
      <c r="D26" s="7" t="s">
        <v>129</v>
      </c>
      <c r="E26" s="17" t="n">
        <v>10</v>
      </c>
      <c r="F26" s="18" t="n">
        <v>1</v>
      </c>
      <c r="G26" s="17" t="n">
        <f aca="false">E26*F26</f>
        <v>10</v>
      </c>
      <c r="H26" s="19" t="s">
        <v>65</v>
      </c>
      <c r="I26" s="19" t="s">
        <v>64</v>
      </c>
      <c r="J26" s="19" t="s">
        <v>64</v>
      </c>
      <c r="K26" s="17" t="n">
        <f aca="false">IF(H26="Sí",G26,0)</f>
        <v>0</v>
      </c>
      <c r="L26" s="17" t="n">
        <f aca="false">IF(I26="Sí",G26,0)</f>
        <v>10</v>
      </c>
      <c r="M26" s="17" t="n">
        <f aca="false">IF(J26="Sí",G26,0)</f>
        <v>10</v>
      </c>
      <c r="N26" s="20" t="s">
        <v>130</v>
      </c>
    </row>
    <row r="27" customFormat="false" ht="33.75" hidden="false" customHeight="true" outlineLevel="0" collapsed="false">
      <c r="A27" s="9" t="s">
        <v>35</v>
      </c>
      <c r="B27" s="7" t="s">
        <v>131</v>
      </c>
      <c r="C27" s="7" t="s">
        <v>132</v>
      </c>
      <c r="D27" s="7" t="s">
        <v>63</v>
      </c>
      <c r="E27" s="17" t="n">
        <v>150</v>
      </c>
      <c r="F27" s="18" t="n">
        <v>1</v>
      </c>
      <c r="G27" s="17" t="n">
        <f aca="false">E27*F27</f>
        <v>150</v>
      </c>
      <c r="H27" s="19" t="s">
        <v>65</v>
      </c>
      <c r="I27" s="19" t="s">
        <v>65</v>
      </c>
      <c r="J27" s="19" t="s">
        <v>64</v>
      </c>
      <c r="K27" s="17" t="n">
        <f aca="false">IF(H27="Sí",G27,0)</f>
        <v>0</v>
      </c>
      <c r="L27" s="17" t="n">
        <f aca="false">IF(I27="Sí",G27,0)</f>
        <v>0</v>
      </c>
      <c r="M27" s="17" t="n">
        <f aca="false">IF(J27="Sí",G27,0)</f>
        <v>150</v>
      </c>
      <c r="N27" s="20" t="s">
        <v>133</v>
      </c>
    </row>
    <row r="28" customFormat="false" ht="33.75" hidden="false" customHeight="true" outlineLevel="0" collapsed="false">
      <c r="A28" s="9" t="s">
        <v>35</v>
      </c>
      <c r="B28" s="7" t="s">
        <v>134</v>
      </c>
      <c r="C28" s="7" t="s">
        <v>135</v>
      </c>
      <c r="D28" s="7" t="s">
        <v>63</v>
      </c>
      <c r="E28" s="17" t="n">
        <v>2944</v>
      </c>
      <c r="F28" s="18" t="n">
        <v>0</v>
      </c>
      <c r="G28" s="17" t="n">
        <f aca="false">E28*F28</f>
        <v>0</v>
      </c>
      <c r="H28" s="19" t="s">
        <v>65</v>
      </c>
      <c r="I28" s="19" t="s">
        <v>65</v>
      </c>
      <c r="J28" s="19" t="s">
        <v>65</v>
      </c>
      <c r="K28" s="17" t="n">
        <f aca="false">IF(H28="Sí",G28,0)</f>
        <v>0</v>
      </c>
      <c r="L28" s="17" t="n">
        <f aca="false">IF(I28="Sí",G28,0)</f>
        <v>0</v>
      </c>
      <c r="M28" s="17" t="n">
        <f aca="false">IF(J28="Sí",G28,0)</f>
        <v>0</v>
      </c>
      <c r="N28" s="20" t="s">
        <v>136</v>
      </c>
    </row>
    <row r="29" customFormat="false" ht="33.75" hidden="false" customHeight="true" outlineLevel="0" collapsed="false">
      <c r="A29" s="16" t="s">
        <v>36</v>
      </c>
      <c r="B29" s="7" t="s">
        <v>137</v>
      </c>
      <c r="C29" s="7" t="s">
        <v>138</v>
      </c>
      <c r="D29" s="7" t="s">
        <v>63</v>
      </c>
      <c r="E29" s="17" t="n">
        <v>23</v>
      </c>
      <c r="F29" s="18" t="n">
        <v>1</v>
      </c>
      <c r="G29" s="17" t="n">
        <f aca="false">E29*F29</f>
        <v>23</v>
      </c>
      <c r="H29" s="19" t="s">
        <v>64</v>
      </c>
      <c r="I29" s="19" t="s">
        <v>64</v>
      </c>
      <c r="J29" s="19" t="s">
        <v>64</v>
      </c>
      <c r="K29" s="17" t="n">
        <f aca="false">IF(H29="Sí",G29,0)</f>
        <v>23</v>
      </c>
      <c r="L29" s="17" t="n">
        <f aca="false">IF(I29="Sí",G29,0)</f>
        <v>23</v>
      </c>
      <c r="M29" s="17" t="n">
        <f aca="false">IF(J29="Sí",G29,0)</f>
        <v>23</v>
      </c>
      <c r="N29" s="20" t="s">
        <v>139</v>
      </c>
    </row>
    <row r="30" customFormat="false" ht="33.75" hidden="false" customHeight="true" outlineLevel="0" collapsed="false">
      <c r="A30" s="9" t="s">
        <v>36</v>
      </c>
      <c r="B30" s="7" t="s">
        <v>140</v>
      </c>
      <c r="C30" s="7" t="s">
        <v>141</v>
      </c>
      <c r="D30" s="7" t="s">
        <v>63</v>
      </c>
      <c r="E30" s="17" t="n">
        <v>70</v>
      </c>
      <c r="F30" s="18" t="n">
        <v>1</v>
      </c>
      <c r="G30" s="17" t="n">
        <f aca="false">E30*F30</f>
        <v>70</v>
      </c>
      <c r="H30" s="19" t="s">
        <v>65</v>
      </c>
      <c r="I30" s="19" t="s">
        <v>65</v>
      </c>
      <c r="J30" s="19" t="s">
        <v>64</v>
      </c>
      <c r="K30" s="17" t="n">
        <f aca="false">IF(H30="Sí",G30,0)</f>
        <v>0</v>
      </c>
      <c r="L30" s="17" t="n">
        <f aca="false">IF(I30="Sí",G30,0)</f>
        <v>0</v>
      </c>
      <c r="M30" s="17" t="n">
        <f aca="false">IF(J30="Sí",G30,0)</f>
        <v>70</v>
      </c>
      <c r="N30" s="20" t="s">
        <v>142</v>
      </c>
    </row>
    <row r="31" customFormat="false" ht="33.75" hidden="false" customHeight="true" outlineLevel="0" collapsed="false">
      <c r="A31" s="9" t="s">
        <v>36</v>
      </c>
      <c r="B31" s="7" t="s">
        <v>143</v>
      </c>
      <c r="C31" s="7" t="s">
        <v>144</v>
      </c>
      <c r="D31" s="7" t="s">
        <v>63</v>
      </c>
      <c r="E31" s="17" t="n">
        <v>10</v>
      </c>
      <c r="F31" s="18" t="n">
        <v>1</v>
      </c>
      <c r="G31" s="17" t="n">
        <f aca="false">E31*F31</f>
        <v>10</v>
      </c>
      <c r="H31" s="19" t="s">
        <v>64</v>
      </c>
      <c r="I31" s="19" t="s">
        <v>64</v>
      </c>
      <c r="J31" s="19" t="s">
        <v>64</v>
      </c>
      <c r="K31" s="17" t="n">
        <f aca="false">IF(H31="Sí",G31,0)</f>
        <v>10</v>
      </c>
      <c r="L31" s="17" t="n">
        <f aca="false">IF(I31="Sí",G31,0)</f>
        <v>10</v>
      </c>
      <c r="M31" s="17" t="n">
        <f aca="false">IF(J31="Sí",G31,0)</f>
        <v>10</v>
      </c>
      <c r="N31" s="20" t="s">
        <v>145</v>
      </c>
    </row>
    <row r="32" customFormat="false" ht="33.75" hidden="false" customHeight="true" outlineLevel="0" collapsed="false">
      <c r="A32" s="9" t="s">
        <v>36</v>
      </c>
      <c r="B32" s="7" t="s">
        <v>146</v>
      </c>
      <c r="C32" s="7" t="s">
        <v>147</v>
      </c>
      <c r="D32" s="7" t="s">
        <v>63</v>
      </c>
      <c r="E32" s="17" t="n">
        <v>0</v>
      </c>
      <c r="F32" s="18" t="n">
        <v>1</v>
      </c>
      <c r="G32" s="17" t="n">
        <f aca="false">E32*F32</f>
        <v>0</v>
      </c>
      <c r="H32" s="19" t="s">
        <v>64</v>
      </c>
      <c r="I32" s="19" t="s">
        <v>64</v>
      </c>
      <c r="J32" s="19" t="s">
        <v>64</v>
      </c>
      <c r="K32" s="17" t="n">
        <f aca="false">IF(H32="Sí",G32,0)</f>
        <v>0</v>
      </c>
      <c r="L32" s="17" t="n">
        <f aca="false">IF(I32="Sí",G32,0)</f>
        <v>0</v>
      </c>
      <c r="M32" s="17" t="n">
        <f aca="false">IF(J32="Sí",G32,0)</f>
        <v>0</v>
      </c>
      <c r="N32" s="20" t="s">
        <v>148</v>
      </c>
    </row>
    <row r="33" customFormat="false" ht="33.75" hidden="false" customHeight="true" outlineLevel="0" collapsed="false">
      <c r="A33" s="16" t="s">
        <v>37</v>
      </c>
      <c r="B33" s="7" t="s">
        <v>149</v>
      </c>
      <c r="C33" s="7" t="s">
        <v>150</v>
      </c>
      <c r="D33" s="7" t="s">
        <v>151</v>
      </c>
      <c r="E33" s="17" t="n">
        <v>50</v>
      </c>
      <c r="F33" s="18" t="n">
        <v>1</v>
      </c>
      <c r="G33" s="17" t="n">
        <f aca="false">E33*F33</f>
        <v>50</v>
      </c>
      <c r="H33" s="19" t="s">
        <v>65</v>
      </c>
      <c r="I33" s="19" t="s">
        <v>64</v>
      </c>
      <c r="J33" s="19" t="s">
        <v>64</v>
      </c>
      <c r="K33" s="17" t="n">
        <f aca="false">IF(H33="Sí",G33,0)</f>
        <v>0</v>
      </c>
      <c r="L33" s="17" t="n">
        <f aca="false">IF(I33="Sí",G33,0)</f>
        <v>50</v>
      </c>
      <c r="M33" s="17" t="n">
        <f aca="false">IF(J33="Sí",G33,0)</f>
        <v>50</v>
      </c>
      <c r="N33" s="20" t="s">
        <v>152</v>
      </c>
    </row>
    <row r="34" customFormat="false" ht="33.75" hidden="false" customHeight="true" outlineLevel="0" collapsed="false">
      <c r="A34" s="9" t="s">
        <v>37</v>
      </c>
      <c r="B34" s="7" t="s">
        <v>153</v>
      </c>
      <c r="C34" s="7" t="s">
        <v>154</v>
      </c>
      <c r="D34" s="7" t="s">
        <v>155</v>
      </c>
      <c r="E34" s="17" t="n">
        <v>30</v>
      </c>
      <c r="F34" s="18" t="n">
        <v>1</v>
      </c>
      <c r="G34" s="17" t="n">
        <f aca="false">E34*F34</f>
        <v>30</v>
      </c>
      <c r="H34" s="19" t="s">
        <v>65</v>
      </c>
      <c r="I34" s="19" t="s">
        <v>64</v>
      </c>
      <c r="J34" s="19" t="s">
        <v>64</v>
      </c>
      <c r="K34" s="17" t="n">
        <f aca="false">IF(H34="Sí",G34,0)</f>
        <v>0</v>
      </c>
      <c r="L34" s="17" t="n">
        <f aca="false">IF(I34="Sí",G34,0)</f>
        <v>30</v>
      </c>
      <c r="M34" s="17" t="n">
        <f aca="false">IF(J34="Sí",G34,0)</f>
        <v>30</v>
      </c>
      <c r="N34" s="20" t="s">
        <v>156</v>
      </c>
    </row>
    <row r="35" customFormat="false" ht="33.75" hidden="false" customHeight="true" outlineLevel="0" collapsed="false">
      <c r="A35" s="9" t="s">
        <v>37</v>
      </c>
      <c r="B35" s="7" t="s">
        <v>157</v>
      </c>
      <c r="C35" s="7" t="s">
        <v>158</v>
      </c>
      <c r="D35" s="7" t="s">
        <v>63</v>
      </c>
      <c r="E35" s="17" t="n">
        <v>0</v>
      </c>
      <c r="F35" s="18" t="n">
        <v>1</v>
      </c>
      <c r="G35" s="17" t="n">
        <f aca="false">E35*F35</f>
        <v>0</v>
      </c>
      <c r="H35" s="19" t="s">
        <v>64</v>
      </c>
      <c r="I35" s="19" t="s">
        <v>64</v>
      </c>
      <c r="J35" s="19" t="s">
        <v>64</v>
      </c>
      <c r="K35" s="17" t="n">
        <f aca="false">IF(H35="Sí",G35,0)</f>
        <v>0</v>
      </c>
      <c r="L35" s="17" t="n">
        <f aca="false">IF(I35="Sí",G35,0)</f>
        <v>0</v>
      </c>
      <c r="M35" s="17" t="n">
        <f aca="false">IF(J35="Sí",G35,0)</f>
        <v>0</v>
      </c>
      <c r="N35" s="20" t="s">
        <v>159</v>
      </c>
    </row>
    <row r="36" customFormat="false" ht="33.75" hidden="false" customHeight="true" outlineLevel="0" collapsed="false">
      <c r="A36" s="16" t="s">
        <v>38</v>
      </c>
      <c r="B36" s="7" t="s">
        <v>160</v>
      </c>
      <c r="C36" s="7" t="s">
        <v>161</v>
      </c>
      <c r="D36" s="7" t="s">
        <v>63</v>
      </c>
      <c r="E36" s="17" t="n">
        <v>500</v>
      </c>
      <c r="F36" s="18" t="n">
        <v>1</v>
      </c>
      <c r="G36" s="17" t="n">
        <f aca="false">E36*F36</f>
        <v>500</v>
      </c>
      <c r="H36" s="19" t="s">
        <v>65</v>
      </c>
      <c r="I36" s="19" t="s">
        <v>64</v>
      </c>
      <c r="J36" s="19" t="s">
        <v>65</v>
      </c>
      <c r="K36" s="17" t="n">
        <f aca="false">IF(H36="Sí",G36,0)</f>
        <v>0</v>
      </c>
      <c r="L36" s="17" t="n">
        <f aca="false">IF(I36="Sí",G36,0)</f>
        <v>500</v>
      </c>
      <c r="M36" s="17" t="n">
        <f aca="false">IF(J36="Sí",G36,0)</f>
        <v>0</v>
      </c>
      <c r="N36" s="20" t="s">
        <v>162</v>
      </c>
    </row>
    <row r="37" customFormat="false" ht="33.75" hidden="false" customHeight="true" outlineLevel="0" collapsed="false">
      <c r="A37" s="9" t="s">
        <v>38</v>
      </c>
      <c r="B37" s="7" t="s">
        <v>163</v>
      </c>
      <c r="C37" s="7" t="s">
        <v>164</v>
      </c>
      <c r="D37" s="7" t="s">
        <v>63</v>
      </c>
      <c r="E37" s="17" t="n">
        <v>800</v>
      </c>
      <c r="F37" s="18" t="n">
        <v>1</v>
      </c>
      <c r="G37" s="17" t="n">
        <f aca="false">E37*F37</f>
        <v>800</v>
      </c>
      <c r="H37" s="19" t="s">
        <v>65</v>
      </c>
      <c r="I37" s="19" t="s">
        <v>65</v>
      </c>
      <c r="J37" s="19" t="s">
        <v>64</v>
      </c>
      <c r="K37" s="17" t="n">
        <f aca="false">IF(H37="Sí",G37,0)</f>
        <v>0</v>
      </c>
      <c r="L37" s="17" t="n">
        <f aca="false">IF(I37="Sí",G37,0)</f>
        <v>0</v>
      </c>
      <c r="M37" s="17" t="n">
        <f aca="false">IF(J37="Sí",G37,0)</f>
        <v>800</v>
      </c>
      <c r="N37" s="20" t="s">
        <v>165</v>
      </c>
    </row>
    <row r="38" customFormat="false" ht="33.75" hidden="false" customHeight="true" outlineLevel="0" collapsed="false">
      <c r="A38" s="9" t="s">
        <v>38</v>
      </c>
      <c r="B38" s="7" t="s">
        <v>166</v>
      </c>
      <c r="C38" s="7" t="s">
        <v>167</v>
      </c>
      <c r="D38" s="7" t="s">
        <v>63</v>
      </c>
      <c r="E38" s="17" t="n">
        <v>0</v>
      </c>
      <c r="F38" s="18" t="n">
        <v>1</v>
      </c>
      <c r="G38" s="17" t="n">
        <f aca="false">E38*F38</f>
        <v>0</v>
      </c>
      <c r="H38" s="19" t="s">
        <v>64</v>
      </c>
      <c r="I38" s="19" t="s">
        <v>64</v>
      </c>
      <c r="J38" s="19" t="s">
        <v>64</v>
      </c>
      <c r="K38" s="17" t="n">
        <f aca="false">IF(H38="Sí",G38,0)</f>
        <v>0</v>
      </c>
      <c r="L38" s="17" t="n">
        <f aca="false">IF(I38="Sí",G38,0)</f>
        <v>0</v>
      </c>
      <c r="M38" s="17" t="n">
        <f aca="false">IF(J38="Sí",G38,0)</f>
        <v>0</v>
      </c>
      <c r="N38" s="20" t="s">
        <v>168</v>
      </c>
    </row>
    <row r="39" customFormat="false" ht="33.75" hidden="false" customHeight="true" outlineLevel="0" collapsed="false">
      <c r="A39" s="9" t="s">
        <v>38</v>
      </c>
      <c r="B39" s="7" t="s">
        <v>169</v>
      </c>
      <c r="C39" s="7" t="s">
        <v>170</v>
      </c>
      <c r="D39" s="7" t="s">
        <v>63</v>
      </c>
      <c r="E39" s="17" t="n">
        <v>0</v>
      </c>
      <c r="F39" s="18" t="n">
        <v>1</v>
      </c>
      <c r="G39" s="17" t="n">
        <f aca="false">E39*F39</f>
        <v>0</v>
      </c>
      <c r="H39" s="19" t="s">
        <v>64</v>
      </c>
      <c r="I39" s="19" t="s">
        <v>64</v>
      </c>
      <c r="J39" s="19" t="s">
        <v>64</v>
      </c>
      <c r="K39" s="17" t="n">
        <f aca="false">IF(H39="Sí",G39,0)</f>
        <v>0</v>
      </c>
      <c r="L39" s="17" t="n">
        <f aca="false">IF(I39="Sí",G39,0)</f>
        <v>0</v>
      </c>
      <c r="M39" s="17" t="n">
        <f aca="false">IF(J39="Sí",G39,0)</f>
        <v>0</v>
      </c>
      <c r="N39" s="20" t="s">
        <v>171</v>
      </c>
    </row>
    <row r="40" customFormat="false" ht="25.5" hidden="false" customHeight="true" outlineLevel="0" collapsed="false">
      <c r="A40" s="11" t="s">
        <v>39</v>
      </c>
      <c r="B40" s="21"/>
      <c r="C40" s="21"/>
      <c r="D40" s="21"/>
      <c r="E40" s="21"/>
      <c r="F40" s="21"/>
      <c r="G40" s="22" t="n">
        <f aca="false">SUM(G5:G39)</f>
        <v>9871.1</v>
      </c>
      <c r="H40" s="21"/>
      <c r="I40" s="21"/>
      <c r="J40" s="21"/>
      <c r="K40" s="22" t="n">
        <f aca="false">SUM(K5:K39)</f>
        <v>439.5</v>
      </c>
      <c r="L40" s="22" t="n">
        <f aca="false">SUM(L5:L39)</f>
        <v>1985.9</v>
      </c>
      <c r="M40" s="22" t="n">
        <f aca="false">SUM(M5:M39)</f>
        <v>8150.9</v>
      </c>
      <c r="N40" s="21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6" min="5" style="0" width="30"/>
  </cols>
  <sheetData>
    <row r="1" customFormat="false" ht="27.75" hidden="false" customHeight="true" outlineLevel="0" collapsed="false">
      <c r="A1" s="14" t="s">
        <v>172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173</v>
      </c>
      <c r="B2" s="15"/>
      <c r="C2" s="15"/>
      <c r="D2" s="15"/>
      <c r="E2" s="15"/>
      <c r="F2" s="15"/>
    </row>
    <row r="4" customFormat="false" ht="39.75" hidden="false" customHeight="true" outlineLevel="0" collapsed="false">
      <c r="A4" s="5" t="s">
        <v>174</v>
      </c>
      <c r="B4" s="5" t="s">
        <v>175</v>
      </c>
      <c r="C4" s="5" t="s">
        <v>176</v>
      </c>
      <c r="D4" s="5" t="s">
        <v>177</v>
      </c>
      <c r="E4" s="5" t="s">
        <v>178</v>
      </c>
      <c r="F4" s="5" t="s">
        <v>179</v>
      </c>
    </row>
    <row r="5" customFormat="false" ht="15" hidden="false" customHeight="false" outlineLevel="0" collapsed="false">
      <c r="A5" s="23" t="s">
        <v>180</v>
      </c>
      <c r="B5" s="24" t="n">
        <v>2</v>
      </c>
      <c r="C5" s="10" t="n">
        <v>263</v>
      </c>
      <c r="D5" s="10" t="n">
        <v>156</v>
      </c>
      <c r="E5" s="25" t="s">
        <v>181</v>
      </c>
      <c r="F5" s="7" t="s">
        <v>182</v>
      </c>
    </row>
    <row r="6" customFormat="false" ht="15" hidden="false" customHeight="false" outlineLevel="0" collapsed="false">
      <c r="A6" s="23" t="s">
        <v>183</v>
      </c>
      <c r="B6" s="24" t="n">
        <v>4</v>
      </c>
      <c r="C6" s="10" t="n">
        <v>526</v>
      </c>
      <c r="D6" s="10" t="n">
        <v>312</v>
      </c>
      <c r="E6" s="25" t="s">
        <v>184</v>
      </c>
      <c r="F6" s="7" t="s">
        <v>185</v>
      </c>
    </row>
    <row r="7" customFormat="false" ht="15" hidden="false" customHeight="false" outlineLevel="0" collapsed="false">
      <c r="A7" s="23" t="s">
        <v>186</v>
      </c>
      <c r="B7" s="24" t="n">
        <v>8</v>
      </c>
      <c r="C7" s="10" t="n">
        <v>1051</v>
      </c>
      <c r="D7" s="10" t="n">
        <v>623</v>
      </c>
      <c r="E7" s="25" t="s">
        <v>187</v>
      </c>
      <c r="F7" s="7" t="s">
        <v>188</v>
      </c>
    </row>
    <row r="8" customFormat="false" ht="15" hidden="false" customHeight="false" outlineLevel="0" collapsed="false">
      <c r="A8" s="23" t="s">
        <v>189</v>
      </c>
      <c r="B8" s="24" t="n">
        <v>16</v>
      </c>
      <c r="C8" s="10" t="n">
        <v>2102</v>
      </c>
      <c r="D8" s="10" t="n">
        <v>1247</v>
      </c>
      <c r="E8" s="25" t="s">
        <v>190</v>
      </c>
      <c r="F8" s="7" t="s">
        <v>191</v>
      </c>
    </row>
    <row r="9" customFormat="false" ht="15" hidden="false" customHeight="false" outlineLevel="0" collapsed="false">
      <c r="A9" s="23" t="s">
        <v>192</v>
      </c>
      <c r="B9" s="24" t="n">
        <v>32</v>
      </c>
      <c r="C9" s="10" t="n">
        <v>4205</v>
      </c>
      <c r="D9" s="10" t="n">
        <v>2494</v>
      </c>
      <c r="E9" s="25" t="s">
        <v>193</v>
      </c>
      <c r="F9" s="7" t="s">
        <v>194</v>
      </c>
    </row>
    <row r="10" customFormat="false" ht="15" hidden="false" customHeight="false" outlineLevel="0" collapsed="false">
      <c r="A10" s="26" t="s">
        <v>195</v>
      </c>
      <c r="B10" s="24" t="n">
        <v>64</v>
      </c>
      <c r="C10" s="10" t="n">
        <v>8410</v>
      </c>
      <c r="D10" s="10" t="n">
        <v>4989</v>
      </c>
      <c r="E10" s="25" t="s">
        <v>196</v>
      </c>
      <c r="F10" s="7" t="s">
        <v>197</v>
      </c>
    </row>
    <row r="11" customFormat="false" ht="15" hidden="false" customHeight="false" outlineLevel="0" collapsed="false">
      <c r="A11" s="23" t="s">
        <v>198</v>
      </c>
      <c r="B11" s="24" t="n">
        <v>128</v>
      </c>
      <c r="C11" s="10" t="n">
        <v>16820</v>
      </c>
      <c r="D11" s="10" t="n">
        <v>9977</v>
      </c>
      <c r="E11" s="25" t="s">
        <v>199</v>
      </c>
      <c r="F11" s="7" t="s">
        <v>200</v>
      </c>
    </row>
    <row r="12" customFormat="false" ht="15" hidden="false" customHeight="false" outlineLevel="0" collapsed="false">
      <c r="A12" s="23" t="s">
        <v>201</v>
      </c>
      <c r="B12" s="24" t="n">
        <v>256</v>
      </c>
      <c r="C12" s="10" t="n">
        <v>33640</v>
      </c>
      <c r="D12" s="10" t="n">
        <v>19954</v>
      </c>
      <c r="E12" s="25" t="s">
        <v>202</v>
      </c>
      <c r="F12" s="7" t="s">
        <v>203</v>
      </c>
    </row>
    <row r="15" customFormat="false" ht="15" hidden="false" customHeight="false" outlineLevel="0" collapsed="false">
      <c r="A15" s="12" t="s">
        <v>204</v>
      </c>
    </row>
    <row r="16" customFormat="false" ht="15" hidden="false" customHeight="true" outlineLevel="0" collapsed="false">
      <c r="A16" s="13" t="s">
        <v>205</v>
      </c>
      <c r="B16" s="13"/>
      <c r="C16" s="13"/>
      <c r="D16" s="13"/>
      <c r="E16" s="13"/>
      <c r="F16" s="13"/>
    </row>
    <row r="17" customFormat="false" ht="15" hidden="false" customHeight="true" outlineLevel="0" collapsed="false">
      <c r="A17" s="13" t="s">
        <v>206</v>
      </c>
      <c r="B17" s="13"/>
      <c r="C17" s="13"/>
      <c r="D17" s="13"/>
      <c r="E17" s="13"/>
      <c r="F17" s="13"/>
    </row>
    <row r="18" customFormat="false" ht="15" hidden="false" customHeight="true" outlineLevel="0" collapsed="false">
      <c r="A18" s="13" t="s">
        <v>207</v>
      </c>
      <c r="B18" s="13"/>
      <c r="C18" s="13"/>
      <c r="D18" s="13"/>
      <c r="E18" s="13"/>
      <c r="F18" s="13"/>
    </row>
    <row r="19" customFormat="false" ht="15" hidden="false" customHeight="true" outlineLevel="0" collapsed="false">
      <c r="A19" s="13" t="s">
        <v>208</v>
      </c>
      <c r="B19" s="13"/>
      <c r="C19" s="13"/>
      <c r="D19" s="13"/>
      <c r="E19" s="13"/>
      <c r="F19" s="13"/>
    </row>
    <row r="20" customFormat="false" ht="15" hidden="false" customHeight="true" outlineLevel="0" collapsed="false">
      <c r="A20" s="13" t="s">
        <v>209</v>
      </c>
      <c r="B20" s="13"/>
      <c r="C20" s="13"/>
      <c r="D20" s="13"/>
      <c r="E20" s="13"/>
      <c r="F20" s="13"/>
    </row>
    <row r="21" customFormat="false" ht="15" hidden="false" customHeight="true" outlineLevel="0" collapsed="false">
      <c r="A21" s="13" t="s">
        <v>210</v>
      </c>
      <c r="B21" s="13"/>
      <c r="C21" s="13"/>
      <c r="D21" s="13"/>
      <c r="E21" s="13"/>
      <c r="F21" s="13"/>
    </row>
  </sheetData>
  <mergeCells count="8">
    <mergeCell ref="A1:F1"/>
    <mergeCell ref="A2:F2"/>
    <mergeCell ref="A16:F16"/>
    <mergeCell ref="A17:F17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40"/>
  </cols>
  <sheetData>
    <row r="1" customFormat="false" ht="27.75" hidden="false" customHeight="true" outlineLevel="0" collapsed="false">
      <c r="A1" s="14" t="s">
        <v>211</v>
      </c>
      <c r="B1" s="14"/>
    </row>
    <row r="3" customFormat="false" ht="15" hidden="false" customHeight="false" outlineLevel="0" collapsed="false">
      <c r="A3" s="2" t="s">
        <v>212</v>
      </c>
      <c r="B3" s="2"/>
    </row>
    <row r="4" customFormat="false" ht="31.5" hidden="false" customHeight="true" outlineLevel="0" collapsed="false">
      <c r="A4" s="27" t="s">
        <v>213</v>
      </c>
      <c r="B4" s="27"/>
    </row>
    <row r="5" customFormat="false" ht="31.5" hidden="false" customHeight="true" outlineLevel="0" collapsed="false">
      <c r="A5" s="27" t="s">
        <v>214</v>
      </c>
      <c r="B5" s="27"/>
    </row>
    <row r="6" customFormat="false" ht="31.5" hidden="false" customHeight="true" outlineLevel="0" collapsed="false">
      <c r="A6" s="27" t="s">
        <v>215</v>
      </c>
      <c r="B6" s="27"/>
    </row>
    <row r="7" customFormat="false" ht="31.5" hidden="false" customHeight="true" outlineLevel="0" collapsed="false">
      <c r="A7" s="27" t="s">
        <v>216</v>
      </c>
      <c r="B7" s="27"/>
    </row>
    <row r="9" customFormat="false" ht="15" hidden="false" customHeight="false" outlineLevel="0" collapsed="false">
      <c r="A9" s="2" t="s">
        <v>217</v>
      </c>
      <c r="B9" s="2"/>
    </row>
    <row r="10" customFormat="false" ht="31.5" hidden="false" customHeight="true" outlineLevel="0" collapsed="false">
      <c r="A10" s="27" t="s">
        <v>218</v>
      </c>
      <c r="B10" s="27"/>
    </row>
    <row r="11" customFormat="false" ht="31.5" hidden="false" customHeight="true" outlineLevel="0" collapsed="false">
      <c r="A11" s="27" t="s">
        <v>219</v>
      </c>
      <c r="B11" s="27"/>
    </row>
    <row r="12" customFormat="false" ht="31.5" hidden="false" customHeight="true" outlineLevel="0" collapsed="false">
      <c r="A12" s="27" t="s">
        <v>220</v>
      </c>
      <c r="B12" s="27"/>
    </row>
    <row r="13" customFormat="false" ht="31.5" hidden="false" customHeight="true" outlineLevel="0" collapsed="false">
      <c r="A13" s="27" t="s">
        <v>221</v>
      </c>
      <c r="B13" s="27"/>
    </row>
    <row r="14" customFormat="false" ht="31.5" hidden="false" customHeight="true" outlineLevel="0" collapsed="false">
      <c r="A14" s="27" t="s">
        <v>222</v>
      </c>
      <c r="B14" s="27"/>
    </row>
    <row r="16" customFormat="false" ht="15" hidden="false" customHeight="false" outlineLevel="0" collapsed="false">
      <c r="A16" s="2" t="s">
        <v>223</v>
      </c>
      <c r="B16" s="2"/>
    </row>
    <row r="17" customFormat="false" ht="31.5" hidden="false" customHeight="true" outlineLevel="0" collapsed="false">
      <c r="A17" s="27" t="s">
        <v>224</v>
      </c>
      <c r="B17" s="27"/>
    </row>
    <row r="18" customFormat="false" ht="31.5" hidden="false" customHeight="true" outlineLevel="0" collapsed="false">
      <c r="A18" s="27" t="s">
        <v>225</v>
      </c>
      <c r="B18" s="27"/>
    </row>
    <row r="19" customFormat="false" ht="31.5" hidden="false" customHeight="true" outlineLevel="0" collapsed="false">
      <c r="A19" s="27" t="s">
        <v>226</v>
      </c>
      <c r="B19" s="27"/>
    </row>
    <row r="21" customFormat="false" ht="15" hidden="false" customHeight="false" outlineLevel="0" collapsed="false">
      <c r="A21" s="2" t="s">
        <v>227</v>
      </c>
      <c r="B21" s="2"/>
    </row>
    <row r="22" customFormat="false" ht="31.5" hidden="false" customHeight="true" outlineLevel="0" collapsed="false">
      <c r="A22" s="27" t="s">
        <v>228</v>
      </c>
      <c r="B22" s="27"/>
    </row>
    <row r="23" customFormat="false" ht="31.5" hidden="false" customHeight="true" outlineLevel="0" collapsed="false">
      <c r="A23" s="27" t="s">
        <v>229</v>
      </c>
      <c r="B23" s="27"/>
    </row>
    <row r="24" customFormat="false" ht="31.5" hidden="false" customHeight="true" outlineLevel="0" collapsed="false">
      <c r="A24" s="27" t="s">
        <v>230</v>
      </c>
      <c r="B24" s="27"/>
    </row>
    <row r="25" customFormat="false" ht="31.5" hidden="false" customHeight="true" outlineLevel="0" collapsed="false">
      <c r="A25" s="27" t="s">
        <v>231</v>
      </c>
      <c r="B25" s="27"/>
    </row>
    <row r="26" customFormat="false" ht="31.5" hidden="false" customHeight="true" outlineLevel="0" collapsed="false">
      <c r="A26" s="27" t="s">
        <v>232</v>
      </c>
      <c r="B26" s="27"/>
    </row>
    <row r="27" customFormat="false" ht="31.5" hidden="false" customHeight="true" outlineLevel="0" collapsed="false">
      <c r="A27" s="27" t="s">
        <v>233</v>
      </c>
      <c r="B27" s="27"/>
    </row>
    <row r="29" customFormat="false" ht="15" hidden="false" customHeight="false" outlineLevel="0" collapsed="false">
      <c r="A29" s="2" t="s">
        <v>234</v>
      </c>
      <c r="B29" s="2"/>
    </row>
    <row r="30" customFormat="false" ht="31.5" hidden="false" customHeight="true" outlineLevel="0" collapsed="false">
      <c r="A30" s="27" t="s">
        <v>235</v>
      </c>
      <c r="B30" s="27"/>
    </row>
    <row r="31" customFormat="false" ht="31.5" hidden="false" customHeight="true" outlineLevel="0" collapsed="false">
      <c r="A31" s="27" t="s">
        <v>236</v>
      </c>
      <c r="B31" s="27"/>
    </row>
    <row r="32" customFormat="false" ht="31.5" hidden="false" customHeight="true" outlineLevel="0" collapsed="false">
      <c r="A32" s="27" t="s">
        <v>237</v>
      </c>
      <c r="B32" s="27"/>
    </row>
    <row r="33" customFormat="false" ht="31.5" hidden="false" customHeight="true" outlineLevel="0" collapsed="false">
      <c r="A33" s="27" t="s">
        <v>238</v>
      </c>
      <c r="B33" s="27"/>
    </row>
    <row r="34" customFormat="false" ht="31.5" hidden="false" customHeight="true" outlineLevel="0" collapsed="false">
      <c r="A34" s="27" t="s">
        <v>239</v>
      </c>
      <c r="B34" s="27"/>
    </row>
    <row r="36" customFormat="false" ht="15" hidden="false" customHeight="false" outlineLevel="0" collapsed="false">
      <c r="A36" s="2" t="s">
        <v>240</v>
      </c>
      <c r="B36" s="2"/>
    </row>
    <row r="37" customFormat="false" ht="31.5" hidden="false" customHeight="true" outlineLevel="0" collapsed="false">
      <c r="A37" s="27" t="s">
        <v>241</v>
      </c>
      <c r="B37" s="27"/>
    </row>
    <row r="38" customFormat="false" ht="31.5" hidden="false" customHeight="true" outlineLevel="0" collapsed="false">
      <c r="A38" s="27" t="s">
        <v>242</v>
      </c>
      <c r="B38" s="27"/>
    </row>
    <row r="39" customFormat="false" ht="31.5" hidden="false" customHeight="true" outlineLevel="0" collapsed="false">
      <c r="A39" s="27" t="s">
        <v>243</v>
      </c>
      <c r="B39" s="27"/>
    </row>
    <row r="40" customFormat="false" ht="31.5" hidden="false" customHeight="true" outlineLevel="0" collapsed="false">
      <c r="A40" s="27" t="s">
        <v>244</v>
      </c>
      <c r="B40" s="27"/>
    </row>
    <row r="41" customFormat="false" ht="31.5" hidden="false" customHeight="true" outlineLevel="0" collapsed="false">
      <c r="A41" s="27" t="s">
        <v>245</v>
      </c>
      <c r="B41" s="27"/>
    </row>
    <row r="42" customFormat="false" ht="31.5" hidden="false" customHeight="true" outlineLevel="0" collapsed="false">
      <c r="A42" s="27" t="s">
        <v>246</v>
      </c>
      <c r="B42" s="27"/>
    </row>
  </sheetData>
  <mergeCells count="36">
    <mergeCell ref="A1:B1"/>
    <mergeCell ref="A3:B3"/>
    <mergeCell ref="A4:B4"/>
    <mergeCell ref="A5:B5"/>
    <mergeCell ref="A6:B6"/>
    <mergeCell ref="A7:B7"/>
    <mergeCell ref="A9:B9"/>
    <mergeCell ref="A10:B10"/>
    <mergeCell ref="A11:B11"/>
    <mergeCell ref="A12:B12"/>
    <mergeCell ref="A13:B13"/>
    <mergeCell ref="A14:B14"/>
    <mergeCell ref="A16:B16"/>
    <mergeCell ref="A17:B17"/>
    <mergeCell ref="A18:B18"/>
    <mergeCell ref="A19:B19"/>
    <mergeCell ref="A21:B21"/>
    <mergeCell ref="A22:B22"/>
    <mergeCell ref="A23:B23"/>
    <mergeCell ref="A24:B24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6:B36"/>
    <mergeCell ref="A37:B37"/>
    <mergeCell ref="A38:B38"/>
    <mergeCell ref="A39:B39"/>
    <mergeCell ref="A40:B40"/>
    <mergeCell ref="A41:B41"/>
    <mergeCell ref="A42:B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2026-07-03T04:48:26Z</dcterms:created>
  <dc:creator>openpyxl</dc:creator>
  <dc:description/>
  <dc:language>en-US</dc:language>
  <cp:lastModifiedBy/>
  <dcterms:modified xsi:type="dcterms:W3CDTF">2026-07-03T04:48:27Z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