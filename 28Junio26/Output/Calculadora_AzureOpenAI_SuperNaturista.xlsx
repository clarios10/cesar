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etalle" sheetId="2" state="visible" r:id="rId4"/>
    <sheet name="Modelos y Precios" sheetId="3" state="visible" r:id="rId5"/>
    <sheet name="Estimador de Tokens" sheetId="4" state="visible" r:id="rId6"/>
    <sheet name="Notas y Supuest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<sst xmlns="http://schemas.openxmlformats.org/spreadsheetml/2006/main" count="733" uniqueCount="418">
  <si>
    <t xml:space="preserve">Calculadora Azure OpenAI — Plataforma Inteligente</t>
  </si>
  <si>
    <t xml:space="preserve">Preparado para Super Naturista</t>
  </si>
  <si>
    <t xml:space="preserve">Región de referencia:</t>
  </si>
  <si>
    <t xml:space="preserve">US East / East US 2</t>
  </si>
  <si>
    <t xml:space="preserve">Fecha de precios:</t>
  </si>
  <si>
    <t xml:space="preserve">Junio 2026</t>
  </si>
  <si>
    <t xml:space="preserve">Moneda:</t>
  </si>
  <si>
    <t xml:space="preserve">USD</t>
  </si>
  <si>
    <t xml:space="preserve">Despliegue:</t>
  </si>
  <si>
    <t xml:space="preserve">Global Standard PAYG</t>
  </si>
  <si>
    <t xml:space="preserve">Fuente:</t>
  </si>
  <si>
    <t xml:space="preserve">Precios lista Microsoft Azure (referenciales)</t>
  </si>
  <si>
    <t xml:space="preserve">Resumen de Escenarios</t>
  </si>
  <si>
    <t xml:space="preserve">Escenario</t>
  </si>
  <si>
    <t xml:space="preserve">Descripción</t>
  </si>
  <si>
    <t xml:space="preserve">Costo Mensual</t>
  </si>
  <si>
    <t xml:space="preserve">Costo Anual</t>
  </si>
  <si>
    <t xml:space="preserve">Uso principal</t>
  </si>
  <si>
    <t xml:space="preserve">Recomendación</t>
  </si>
  <si>
    <t xml:space="preserve">Piloto</t>
  </si>
  <si>
    <t xml:space="preserve">Un caso de uso, GPT-4o mini priorizado</t>
  </si>
  <si>
    <t xml:space="preserve">Validar valor con bajo costo</t>
  </si>
  <si>
    <t xml:space="preserve">Iniciar con AI Search Basic</t>
  </si>
  <si>
    <t xml:space="preserve">Producción Inicial</t>
  </si>
  <si>
    <t xml:space="preserve">2-3 casos, mezcla GPT-4o y mini</t>
  </si>
  <si>
    <t xml:space="preserve">Operación estable</t>
  </si>
  <si>
    <t xml:space="preserve">Migrar a AI Search S1</t>
  </si>
  <si>
    <t xml:space="preserve">Producción a Escala</t>
  </si>
  <si>
    <t xml:space="preserve">Múltiples casos, alta concurrencia</t>
  </si>
  <si>
    <t xml:space="preserve">Volumen alto de tokens</t>
  </si>
  <si>
    <t xml:space="preserve">Evaluar PTU si &gt;150M tokens/mes</t>
  </si>
  <si>
    <t xml:space="preserve">Desglose por Categoría (mensual, USD)</t>
  </si>
  <si>
    <t xml:space="preserve">Categoría</t>
  </si>
  <si>
    <t xml:space="preserve">Azure OpenAI</t>
  </si>
  <si>
    <t xml:space="preserve">Azure AI Search</t>
  </si>
  <si>
    <t xml:space="preserve">Azure AI Foundry Tools</t>
  </si>
  <si>
    <t xml:space="preserve">Almacenamiento</t>
  </si>
  <si>
    <t xml:space="preserve">Cómputo y Web</t>
  </si>
  <si>
    <t xml:space="preserve">Redes</t>
  </si>
  <si>
    <t xml:space="preserve">Identidad y Seguridad</t>
  </si>
  <si>
    <t xml:space="preserve">Monitoreo</t>
  </si>
  <si>
    <t xml:space="preserve">Gobierno</t>
  </si>
  <si>
    <t xml:space="preserve">Soporte</t>
  </si>
  <si>
    <t xml:space="preserve">TOTAL</t>
  </si>
  <si>
    <t xml:space="preserve">Notas importantes</t>
  </si>
  <si>
    <t xml:space="preserve">• Los precios son referenciales; validar en la calculadora oficial de Azure al momento de la contratación.</t>
  </si>
  <si>
    <t xml:space="preserve">• Costos de tokens: para Azure OpenAI, la unidad "Cantidad" en la hoja Detalle representa MILLONES de tokens al mes.</t>
  </si>
  <si>
    <t xml:space="preserve">• Los tokens de entrada y salida se listan como componentes separados (input y output tienen tarifas distintas).</t>
  </si>
  <si>
    <t xml:space="preserve">• Ajuste las cantidades de tokens según su volumen esperado. Los valores por defecto corresponden a supuestos moderados por escenario.</t>
  </si>
  <si>
    <t xml:space="preserve">• Para modificar escenarios: edite las columnas "Cantidad" y "Sí/No" en la hoja "Detalle". Los totales se actualizan automáticamente.</t>
  </si>
  <si>
    <t xml:space="preserve">• Para consumo alto sostenido (&gt;150M tokens/mes en GPT-4o), evaluar PTU (Provisioned Throughput Units).</t>
  </si>
  <si>
    <t xml:space="preserve">Cálculo Detallado por Componente</t>
  </si>
  <si>
    <t xml:space="preserve">Instrucciones: para Azure OpenAI, "Cantidad" = millones de tokens/mes. Ajuste columnas F y H/I/J según cada escenario.</t>
  </si>
  <si>
    <t xml:space="preserve">Componente</t>
  </si>
  <si>
    <t xml:space="preserve">SKU / Configuración</t>
  </si>
  <si>
    <t xml:space="preserve">Unidad</t>
  </si>
  <si>
    <t xml:space="preserve">Precio Unitario</t>
  </si>
  <si>
    <t xml:space="preserve">Cantidad</t>
  </si>
  <si>
    <t xml:space="preserve">Incluir Piloto</t>
  </si>
  <si>
    <t xml:space="preserve">Incluir Prod. Inicial</t>
  </si>
  <si>
    <t xml:space="preserve">Incluir Prod. Escala</t>
  </si>
  <si>
    <t xml:space="preserve">Costo Piloto</t>
  </si>
  <si>
    <t xml:space="preserve">Costo Prod. Inicial</t>
  </si>
  <si>
    <t xml:space="preserve">Costo Prod. Escala</t>
  </si>
  <si>
    <t xml:space="preserve">Notas</t>
  </si>
  <si>
    <t xml:space="preserve">GPT-4o (input tokens) — Piloto</t>
  </si>
  <si>
    <t xml:space="preserve">PAYG Global Standard</t>
  </si>
  <si>
    <t xml:space="preserve">M tokens/mes</t>
  </si>
  <si>
    <t xml:space="preserve">Sí</t>
  </si>
  <si>
    <t xml:space="preserve">No</t>
  </si>
  <si>
    <t xml:space="preserve">Piloto: ~300K tokens input al mes en respuestas al usuario.</t>
  </si>
  <si>
    <t xml:space="preserve">GPT-4o (input tokens) — Prod. Inicial</t>
  </si>
  <si>
    <t xml:space="preserve">Prod. inicial: ~5M tokens input/mes.</t>
  </si>
  <si>
    <t xml:space="preserve">GPT-4o (input tokens) — Prod. Escala</t>
  </si>
  <si>
    <t xml:space="preserve">Prod. escala: ~25M tokens input/mes.</t>
  </si>
  <si>
    <t xml:space="preserve">GPT-4o (output tokens) — Piloto</t>
  </si>
  <si>
    <t xml:space="preserve">Salida ~50% del volumen de entrada.</t>
  </si>
  <si>
    <t xml:space="preserve">GPT-4o (output tokens) — Prod. Inicial</t>
  </si>
  <si>
    <t xml:space="preserve">Salida ~50% del input.</t>
  </si>
  <si>
    <t xml:space="preserve">GPT-4o (output tokens) — Prod. Escala</t>
  </si>
  <si>
    <t xml:space="preserve">GPT-4o mini (input) — Piloto</t>
  </si>
  <si>
    <t xml:space="preserve">Modelo económico para clasificaciones y extracciones.</t>
  </si>
  <si>
    <t xml:space="preserve">GPT-4o mini (input) — Prod. Inicial</t>
  </si>
  <si>
    <t xml:space="preserve">Volumen mayor en tareas rutinarias.</t>
  </si>
  <si>
    <t xml:space="preserve">GPT-4o mini (input) — Prod. Escala</t>
  </si>
  <si>
    <t xml:space="preserve">Alto volumen con routing agresivo.</t>
  </si>
  <si>
    <t xml:space="preserve">GPT-4o mini (output) — Piloto</t>
  </si>
  <si>
    <t xml:space="preserve">Salidas cortas en tareas simples.</t>
  </si>
  <si>
    <t xml:space="preserve">GPT-4o mini (output) — Prod. Inicial</t>
  </si>
  <si>
    <t xml:space="preserve">GPT-4o mini (output) — Prod. Escala</t>
  </si>
  <si>
    <t xml:space="preserve">text-embedding-3-large — Piloto</t>
  </si>
  <si>
    <t xml:space="preserve">PAYG</t>
  </si>
  <si>
    <t xml:space="preserve">Vectorización inicial de documentos.</t>
  </si>
  <si>
    <t xml:space="preserve">text-embedding-3-large — Prod. Inicial</t>
  </si>
  <si>
    <t xml:space="preserve">Reindexación periódica.</t>
  </si>
  <si>
    <t xml:space="preserve">text-embedding-3-large — Prod. Escala</t>
  </si>
  <si>
    <t xml:space="preserve">Gran volumen de contenido.</t>
  </si>
  <si>
    <t xml:space="preserve">Azure AI Search — Basic</t>
  </si>
  <si>
    <t xml:space="preserve">Basic tier</t>
  </si>
  <si>
    <t xml:space="preserve">Servicio/mes</t>
  </si>
  <si>
    <t xml:space="preserve">15 GB. Recomendado para piloto.</t>
  </si>
  <si>
    <t xml:space="preserve">Azure AI Search — Standard S1</t>
  </si>
  <si>
    <t xml:space="preserve">Standard S1</t>
  </si>
  <si>
    <t xml:space="preserve">160 GB por SU. Punto de inicio para producción.</t>
  </si>
  <si>
    <t xml:space="preserve">Azure AI Search — Standard S2</t>
  </si>
  <si>
    <t xml:space="preserve">Standard S2</t>
  </si>
  <si>
    <t xml:space="preserve">2 TB por SU. Alta concurrencia.</t>
  </si>
  <si>
    <t xml:space="preserve">Document Intelligence</t>
  </si>
  <si>
    <t xml:space="preserve">Prebuilt models S0</t>
  </si>
  <si>
    <t xml:space="preserve">Millar de páginas</t>
  </si>
  <si>
    <t xml:space="preserve">100 páginas/mes piloto, 1K prod. inicial, 5K prod. escala. Ajuste según volumen real.</t>
  </si>
  <si>
    <t xml:space="preserve">Content Safety — Piloto</t>
  </si>
  <si>
    <t xml:space="preserve">Text moderation</t>
  </si>
  <si>
    <t xml:space="preserve">Millar de registros</t>
  </si>
  <si>
    <t xml:space="preserve">5K registros/mes en piloto.</t>
  </si>
  <si>
    <t xml:space="preserve">Content Safety — Prod. Inicial</t>
  </si>
  <si>
    <t xml:space="preserve">50K registros/mes en producción inicial.</t>
  </si>
  <si>
    <t xml:space="preserve">Content Safety — Prod. Escala</t>
  </si>
  <si>
    <t xml:space="preserve">500K registros/mes en escala.</t>
  </si>
  <si>
    <t xml:space="preserve">Azure Data Lake Storage Gen2</t>
  </si>
  <si>
    <t xml:space="preserve">Hot tier</t>
  </si>
  <si>
    <t xml:space="preserve">GB/mes</t>
  </si>
  <si>
    <t xml:space="preserve">Ajuste según volumen real. Estimado 100 GB piloto.</t>
  </si>
  <si>
    <t xml:space="preserve">Azure Blob Storage (documentos)</t>
  </si>
  <si>
    <t xml:space="preserve">Repositorio de documentos originales.</t>
  </si>
  <si>
    <t xml:space="preserve">Cosmos DB (historial chat)</t>
  </si>
  <si>
    <t xml:space="preserve">Serverless</t>
  </si>
  <si>
    <t xml:space="preserve">Historial conversacional. ~$50/mes típico.</t>
  </si>
  <si>
    <t xml:space="preserve">Azure Functions</t>
  </si>
  <si>
    <t xml:space="preserve">Consumption plan</t>
  </si>
  <si>
    <t xml:space="preserve">Mes</t>
  </si>
  <si>
    <t xml:space="preserve">Orquestación ligera. Primer 1M ejecuciones gratis.</t>
  </si>
  <si>
    <t xml:space="preserve">Azure Container Apps</t>
  </si>
  <si>
    <t xml:space="preserve">Consumption</t>
  </si>
  <si>
    <t xml:space="preserve">Orquestación escalable para producción.</t>
  </si>
  <si>
    <t xml:space="preserve">Azure App Service — Piloto</t>
  </si>
  <si>
    <t xml:space="preserve">Basic B1</t>
  </si>
  <si>
    <t xml:space="preserve">Web app del chat en piloto.</t>
  </si>
  <si>
    <t xml:space="preserve">Azure App Service — Producción</t>
  </si>
  <si>
    <t xml:space="preserve">Web app en producción.</t>
  </si>
  <si>
    <t xml:space="preserve">Azure App Service — Escala</t>
  </si>
  <si>
    <t xml:space="preserve">Premium P1v3</t>
  </si>
  <si>
    <t xml:space="preserve">Con auto-scale y features enterprise.</t>
  </si>
  <si>
    <t xml:space="preserve">Azure Data Factory</t>
  </si>
  <si>
    <t xml:space="preserve">Pipelines light</t>
  </si>
  <si>
    <t xml:space="preserve">Orquestación de ingesta de datos.</t>
  </si>
  <si>
    <t xml:space="preserve">Virtual Network (VNet)</t>
  </si>
  <si>
    <t xml:space="preserve">Hub-and-Spoke</t>
  </si>
  <si>
    <t xml:space="preserve">Servicio gratuito. Aplican cargos de egress.</t>
  </si>
  <si>
    <t xml:space="preserve">Network Security Groups (NSG)</t>
  </si>
  <si>
    <t xml:space="preserve">Reglas por subred</t>
  </si>
  <si>
    <t xml:space="preserve">Servicio gratuito.</t>
  </si>
  <si>
    <t xml:space="preserve">VPN Gateway VpnGw1</t>
  </si>
  <si>
    <t xml:space="preserve">Site-to-Site VPN</t>
  </si>
  <si>
    <t xml:space="preserve">Conectividad hacia SQL Server on-prem.</t>
  </si>
  <si>
    <t xml:space="preserve">VPN Gateway VpnGw2</t>
  </si>
  <si>
    <t xml:space="preserve">Site-to-Site VPN alta</t>
  </si>
  <si>
    <t xml:space="preserve">Mayor throughput para escala.</t>
  </si>
  <si>
    <t xml:space="preserve">Private Endpoint</t>
  </si>
  <si>
    <t xml:space="preserve">PE hacia OpenAI, Search, Storage</t>
  </si>
  <si>
    <t xml:space="preserve">Endpoint/mes</t>
  </si>
  <si>
    <t xml:space="preserve">5 endpoints típicos: OpenAI, Search, Storage, Cosmos, Key Vault.</t>
  </si>
  <si>
    <t xml:space="preserve">Azure Firewall Basic</t>
  </si>
  <si>
    <t xml:space="preserve">Firewall administrado</t>
  </si>
  <si>
    <t xml:space="preserve">Filtrado avanzado en producción.</t>
  </si>
  <si>
    <t xml:space="preserve">Azure Firewall Standard</t>
  </si>
  <si>
    <t xml:space="preserve">Firewall con Threat Intel</t>
  </si>
  <si>
    <t xml:space="preserve">Para producción a escala.</t>
  </si>
  <si>
    <t xml:space="preserve">Microsoft Entra ID Free</t>
  </si>
  <si>
    <t xml:space="preserve">Incluido</t>
  </si>
  <si>
    <t xml:space="preserve">Suficiente para piloto.</t>
  </si>
  <si>
    <t xml:space="preserve">Microsoft Entra ID P1</t>
  </si>
  <si>
    <t xml:space="preserve">Por usuario</t>
  </si>
  <si>
    <t xml:space="preserve">Usuario/mes</t>
  </si>
  <si>
    <t xml:space="preserve">MFA y Conditional Access en producción.</t>
  </si>
  <si>
    <t xml:space="preserve">Microsoft Entra ID P2</t>
  </si>
  <si>
    <t xml:space="preserve">Incluye PIM y risk detection.</t>
  </si>
  <si>
    <t xml:space="preserve">Azure Key Vault Standard</t>
  </si>
  <si>
    <t xml:space="preserve">Gestión de secretos</t>
  </si>
  <si>
    <t xml:space="preserve">Costo mínimo por transacciones.</t>
  </si>
  <si>
    <t xml:space="preserve">Defender for SQL</t>
  </si>
  <si>
    <t xml:space="preserve">Protección BD</t>
  </si>
  <si>
    <t xml:space="preserve">Servidor/mes</t>
  </si>
  <si>
    <t xml:space="preserve">Protege el SQL del ERP.</t>
  </si>
  <si>
    <t xml:space="preserve">Defender for Storage</t>
  </si>
  <si>
    <t xml:space="preserve">Protección Storage</t>
  </si>
  <si>
    <t xml:space="preserve">Cuenta/mes</t>
  </si>
  <si>
    <t xml:space="preserve">Malware scanning en Data Lake.</t>
  </si>
  <si>
    <t xml:space="preserve">Defender for Servers Plan 2</t>
  </si>
  <si>
    <t xml:space="preserve">Protección VMs</t>
  </si>
  <si>
    <t xml:space="preserve">Para VMs del SHIR y otras.</t>
  </si>
  <si>
    <t xml:space="preserve">Microsoft Sentinel</t>
  </si>
  <si>
    <t xml:space="preserve">SIEM 10 GB</t>
  </si>
  <si>
    <t xml:space="preserve">Detección de amenazas en escala.</t>
  </si>
  <si>
    <t xml:space="preserve">Log Analytics Workspace</t>
  </si>
  <si>
    <t xml:space="preserve">Ingesta ~10 GB/mes</t>
  </si>
  <si>
    <t xml:space="preserve">~$2.30/GB. Ajuste según ingesta real.</t>
  </si>
  <si>
    <t xml:space="preserve">Log Analytics ampliado</t>
  </si>
  <si>
    <t xml:space="preserve">Ingesta adicional 40 GB</t>
  </si>
  <si>
    <t xml:space="preserve">Application Insights</t>
  </si>
  <si>
    <t xml:space="preserve">APM (incluido en LA)</t>
  </si>
  <si>
    <t xml:space="preserve">Sin costo adicional base.</t>
  </si>
  <si>
    <t xml:space="preserve">Azure Monitor Alerts</t>
  </si>
  <si>
    <t xml:space="preserve">Reglas de alerta</t>
  </si>
  <si>
    <t xml:space="preserve">Grupos de acción y alertas.</t>
  </si>
  <si>
    <t xml:space="preserve">Azure Policy</t>
  </si>
  <si>
    <t xml:space="preserve">Cumplimiento de recursos</t>
  </si>
  <si>
    <t xml:space="preserve">Azure Cost Management</t>
  </si>
  <si>
    <t xml:space="preserve">Budgets y alertas de costo</t>
  </si>
  <si>
    <t xml:space="preserve">Microsoft Purview Base</t>
  </si>
  <si>
    <t xml:space="preserve">Data Map y Catalog</t>
  </si>
  <si>
    <t xml:space="preserve">Catalogación para producción.</t>
  </si>
  <si>
    <t xml:space="preserve">Microsoft Purview Ampliado</t>
  </si>
  <si>
    <t xml:space="preserve">Data Map + Governance</t>
  </si>
  <si>
    <t xml:space="preserve">Para catálogo extendido en escala.</t>
  </si>
  <si>
    <t xml:space="preserve">Azure Standard Support</t>
  </si>
  <si>
    <t xml:space="preserve">Recomendado para producción</t>
  </si>
  <si>
    <t xml:space="preserve">Soporte estándar. Basic gratis pero limitado.</t>
  </si>
  <si>
    <t xml:space="preserve">Catálogo de Modelos Azure OpenAI y AI Search</t>
  </si>
  <si>
    <t xml:space="preserve">Precios PAYG Global Standard (US East 2, junio 2026)</t>
  </si>
  <si>
    <t xml:space="preserve">Modelos de Azure OpenAI</t>
  </si>
  <si>
    <t xml:space="preserve">Modelo</t>
  </si>
  <si>
    <t xml:space="preserve">Entrada / 1M tokens</t>
  </si>
  <si>
    <t xml:space="preserve">Salida / 1M tokens</t>
  </si>
  <si>
    <t xml:space="preserve">Contexto</t>
  </si>
  <si>
    <t xml:space="preserve">Nota</t>
  </si>
  <si>
    <t xml:space="preserve">GPT-5.2</t>
  </si>
  <si>
    <t xml:space="preserve">$1.75</t>
  </si>
  <si>
    <t xml:space="preserve">$14.00</t>
  </si>
  <si>
    <t xml:space="preserve">256K</t>
  </si>
  <si>
    <t xml:space="preserve">Razonamiento avanzado</t>
  </si>
  <si>
    <t xml:space="preserve">Premium más reciente</t>
  </si>
  <si>
    <t xml:space="preserve">GPT-4o</t>
  </si>
  <si>
    <t xml:space="preserve">$2.50</t>
  </si>
  <si>
    <t xml:space="preserve">$10.00</t>
  </si>
  <si>
    <t xml:space="preserve">128K</t>
  </si>
  <si>
    <t xml:space="preserve">Motor conversacional</t>
  </si>
  <si>
    <t xml:space="preserve">Recomendado para respuestas al usuario</t>
  </si>
  <si>
    <t xml:space="preserve">GPT-4o mini</t>
  </si>
  <si>
    <t xml:space="preserve">$0.15</t>
  </si>
  <si>
    <t xml:space="preserve">$0.60</t>
  </si>
  <si>
    <t xml:space="preserve">Clasificación, extracción</t>
  </si>
  <si>
    <t xml:space="preserve">Ideal para routing y tareas simples</t>
  </si>
  <si>
    <t xml:space="preserve">GPT-4.1</t>
  </si>
  <si>
    <t xml:space="preserve">$3.00</t>
  </si>
  <si>
    <t xml:space="preserve">$12.00</t>
  </si>
  <si>
    <t xml:space="preserve">1M</t>
  </si>
  <si>
    <t xml:space="preserve">Contextos muy largos</t>
  </si>
  <si>
    <t xml:space="preserve">Documentos grandes</t>
  </si>
  <si>
    <t xml:space="preserve">GPT-4.1 nano</t>
  </si>
  <si>
    <t xml:space="preserve">$0.10</t>
  </si>
  <si>
    <t xml:space="preserve">$0.40</t>
  </si>
  <si>
    <t xml:space="preserve">Alto volumen simple</t>
  </si>
  <si>
    <t xml:space="preserve">Costo mínimo</t>
  </si>
  <si>
    <t xml:space="preserve">GPT-5 nano</t>
  </si>
  <si>
    <t xml:space="preserve">$0.05</t>
  </si>
  <si>
    <t xml:space="preserve">Ultra económico</t>
  </si>
  <si>
    <t xml:space="preserve">Clasificación masiva</t>
  </si>
  <si>
    <t xml:space="preserve">o4-mini</t>
  </si>
  <si>
    <t xml:space="preserve">$1.21</t>
  </si>
  <si>
    <t xml:space="preserve">$4.84</t>
  </si>
  <si>
    <t xml:space="preserve">200K</t>
  </si>
  <si>
    <t xml:space="preserve">Razonamiento (reasoning)</t>
  </si>
  <si>
    <t xml:space="preserve">Problemas complejos</t>
  </si>
  <si>
    <t xml:space="preserve">text-embedding-3-large</t>
  </si>
  <si>
    <t xml:space="preserve">$0.13</t>
  </si>
  <si>
    <t xml:space="preserve">n/a</t>
  </si>
  <si>
    <t xml:space="preserve">8K</t>
  </si>
  <si>
    <t xml:space="preserve">Vectorización de calidad</t>
  </si>
  <si>
    <t xml:space="preserve">Recomendado en RAG</t>
  </si>
  <si>
    <t xml:space="preserve">text-embedding-3-small</t>
  </si>
  <si>
    <t xml:space="preserve">$0.02</t>
  </si>
  <si>
    <t xml:space="preserve">Vectorización económica</t>
  </si>
  <si>
    <t xml:space="preserve">Alto volumen</t>
  </si>
  <si>
    <t xml:space="preserve">Tiers de Azure AI Search</t>
  </si>
  <si>
    <t xml:space="preserve">Tier</t>
  </si>
  <si>
    <t xml:space="preserve">Precio mensual</t>
  </si>
  <si>
    <t xml:space="preserve">Réplicas / Particiones</t>
  </si>
  <si>
    <t xml:space="preserve">Uso típico</t>
  </si>
  <si>
    <t xml:space="preserve">Free</t>
  </si>
  <si>
    <t xml:space="preserve">$0</t>
  </si>
  <si>
    <t xml:space="preserve">50 MB</t>
  </si>
  <si>
    <t xml:space="preserve">1 / 1 (compartido)</t>
  </si>
  <si>
    <t xml:space="preserve">Demos y tutoriales</t>
  </si>
  <si>
    <t xml:space="preserve">Solo 1 servicio por suscripción</t>
  </si>
  <si>
    <t xml:space="preserve">Basic</t>
  </si>
  <si>
    <t xml:space="preserve">~$75</t>
  </si>
  <si>
    <t xml:space="preserve">15 GB</t>
  </si>
  <si>
    <t xml:space="preserve">Hasta 3 / 3</t>
  </si>
  <si>
    <t xml:space="preserve">Piloto y proyectos pequeños</t>
  </si>
  <si>
    <t xml:space="preserve">Recomendado para el piloto</t>
  </si>
  <si>
    <t xml:space="preserve">~$250</t>
  </si>
  <si>
    <t xml:space="preserve">160 GB por SU</t>
  </si>
  <si>
    <t xml:space="preserve">Hasta 12 / 12</t>
  </si>
  <si>
    <t xml:space="preserve">Producción PyME</t>
  </si>
  <si>
    <t xml:space="preserve">Punto de inicio productivo</t>
  </si>
  <si>
    <t xml:space="preserve">~$1,000</t>
  </si>
  <si>
    <t xml:space="preserve">2 TB por SU</t>
  </si>
  <si>
    <t xml:space="preserve">Volumen alto de datos</t>
  </si>
  <si>
    <t xml:space="preserve">Escala mayor</t>
  </si>
  <si>
    <t xml:space="preserve">Standard S3</t>
  </si>
  <si>
    <t xml:space="preserve">~$1,000+/SU</t>
  </si>
  <si>
    <t xml:space="preserve">2-12 TB</t>
  </si>
  <si>
    <t xml:space="preserve">Enterprise</t>
  </si>
  <si>
    <t xml:space="preserve">Alta concurrencia</t>
  </si>
  <si>
    <t xml:space="preserve">Modalidades de Despliegue</t>
  </si>
  <si>
    <t xml:space="preserve">Modalidad</t>
  </si>
  <si>
    <t xml:space="preserve">Precio base</t>
  </si>
  <si>
    <t xml:space="preserve">Break-even</t>
  </si>
  <si>
    <t xml:space="preserve">Latencia</t>
  </si>
  <si>
    <t xml:space="preserve">Residencia</t>
  </si>
  <si>
    <t xml:space="preserve">Por token</t>
  </si>
  <si>
    <t xml:space="preserve">Bajo volumen</t>
  </si>
  <si>
    <t xml:space="preserve">Variable (buena)</t>
  </si>
  <si>
    <t xml:space="preserve">Sin garantía regional</t>
  </si>
  <si>
    <t xml:space="preserve">Piloto y producción inicial</t>
  </si>
  <si>
    <t xml:space="preserve">Data Zone (US, EU)</t>
  </si>
  <si>
    <t xml:space="preserve">+5-10%</t>
  </si>
  <si>
    <t xml:space="preserve">Variable</t>
  </si>
  <si>
    <t xml:space="preserve">Zona (US o EU)</t>
  </si>
  <si>
    <t xml:space="preserve">Cumplimiento regional básico</t>
  </si>
  <si>
    <t xml:space="preserve">Regional Standard</t>
  </si>
  <si>
    <t xml:space="preserve">Baja regional</t>
  </si>
  <si>
    <t xml:space="preserve">Región específica</t>
  </si>
  <si>
    <t xml:space="preserve">GDPR, FedRAMP</t>
  </si>
  <si>
    <t xml:space="preserve">PTU Global</t>
  </si>
  <si>
    <t xml:space="preserve">~$2,448/PTU/mes</t>
  </si>
  <si>
    <t xml:space="preserve">150-200M tokens/mes</t>
  </si>
  <si>
    <t xml:space="preserve">Predecible</t>
  </si>
  <si>
    <t xml:space="preserve">Sin garantía</t>
  </si>
  <si>
    <t xml:space="preserve">Escala sostenida</t>
  </si>
  <si>
    <t xml:space="preserve">PTU Reservado 1 año</t>
  </si>
  <si>
    <t xml:space="preserve">~40% descuento</t>
  </si>
  <si>
    <t xml:space="preserve">Uso consistente</t>
  </si>
  <si>
    <t xml:space="preserve">Cargas estables anuales</t>
  </si>
  <si>
    <t xml:space="preserve">Estimador de Consumo de Tokens</t>
  </si>
  <si>
    <t xml:space="preserve">Herramienta interactiva para dimensionar el consumo mensual esperado y su costo.</t>
  </si>
  <si>
    <t xml:space="preserve">Parámetros de uso (ajustables)</t>
  </si>
  <si>
    <t xml:space="preserve">Consultas al asistente por día:</t>
  </si>
  <si>
    <t xml:space="preserve">Interacciones únicas al chat.</t>
  </si>
  <si>
    <t xml:space="preserve">Días activos por mes:</t>
  </si>
  <si>
    <t xml:space="preserve">Días laborales típicos.</t>
  </si>
  <si>
    <t xml:space="preserve">Tokens de entrada promedio por consulta:</t>
  </si>
  <si>
    <t xml:space="preserve">Prompt sistema + contexto RAG + historia + pregunta.</t>
  </si>
  <si>
    <t xml:space="preserve">Tokens de salida promedio por consulta:</t>
  </si>
  <si>
    <t xml:space="preserve">Respuesta narrativa promedio.</t>
  </si>
  <si>
    <t xml:space="preserve">Porcentaje enviado a GPT-4o (vs mini):</t>
  </si>
  <si>
    <t xml:space="preserve">Rest goes to GPT-4o mini via routing (40% GPT-4o).</t>
  </si>
  <si>
    <t xml:space="preserve">Documentos vectorizados al mes:</t>
  </si>
  <si>
    <t xml:space="preserve">Nuevos documentos que se indexan mensualmente.</t>
  </si>
  <si>
    <t xml:space="preserve">Tokens promedio por documento:</t>
  </si>
  <si>
    <t xml:space="preserve">Contenido de un documento típico.</t>
  </si>
  <si>
    <t xml:space="preserve">Volumen mensual derivado</t>
  </si>
  <si>
    <t xml:space="preserve">Consultas totales al mes:</t>
  </si>
  <si>
    <t xml:space="preserve">Tokens de entrada totales al mes:</t>
  </si>
  <si>
    <t xml:space="preserve">Tokens de salida totales al mes:</t>
  </si>
  <si>
    <t xml:space="preserve">Tokens entrada GPT-4o (millones):</t>
  </si>
  <si>
    <t xml:space="preserve">Tokens entrada GPT-4o mini (millones):</t>
  </si>
  <si>
    <t xml:space="preserve">Tokens salida GPT-4o (millones):</t>
  </si>
  <si>
    <t xml:space="preserve">Tokens salida GPT-4o mini (millones):</t>
  </si>
  <si>
    <t xml:space="preserve">Tokens embeddings al mes (millones):</t>
  </si>
  <si>
    <t xml:space="preserve">Costo estimado mensual (solo tokens)</t>
  </si>
  <si>
    <t xml:space="preserve">Concepto</t>
  </si>
  <si>
    <t xml:space="preserve">Millones tokens</t>
  </si>
  <si>
    <t xml:space="preserve">Precio /1M</t>
  </si>
  <si>
    <t xml:space="preserve">Costo mensual</t>
  </si>
  <si>
    <t xml:space="preserve">GPT-4o input</t>
  </si>
  <si>
    <t xml:space="preserve">GPT-4o output</t>
  </si>
  <si>
    <t xml:space="preserve">GPT-4o mini input</t>
  </si>
  <si>
    <t xml:space="preserve">GPT-4o mini output</t>
  </si>
  <si>
    <t xml:space="preserve">TOTAL TOKENS</t>
  </si>
  <si>
    <t xml:space="preserve">• Ajuste los parámetros amarillos en las celdas B6:B12 para modelar su volumen esperado.</t>
  </si>
  <si>
    <t xml:space="preserve">• Los resultados calculados son SOLO el costo de tokens de Azure OpenAI. NO incluyen AI Search, storage, compute u otros servicios.</t>
  </si>
  <si>
    <t xml:space="preserve">• Para el costo total, consulte la hoja "Resumen" y "Detalle".</t>
  </si>
  <si>
    <t xml:space="preserve">• Un prompt de sistema típico bien diseñado tiene 500-1,500 tokens; el contexto RAG añade 1,000-3,000 tokens.</t>
  </si>
  <si>
    <t xml:space="preserve">• Un token equivale aproximadamente a 4 caracteres o 0.75 palabras en español.</t>
  </si>
  <si>
    <t xml:space="preserve">Notas, Supuestos y Consideraciones</t>
  </si>
  <si>
    <t xml:space="preserve">Origen y vigencia de precios</t>
  </si>
  <si>
    <t xml:space="preserve">Precios referenciales de lista pública de Microsoft Azure, junio 2026, despliegue Global Standard PAYG.</t>
  </si>
  <si>
    <t xml:space="preserve">Los precios pueden variar ±5-15% dependiendo de la región Azure seleccionada.</t>
  </si>
  <si>
    <t xml:space="preserve">Data Zone y Regional Standard aplican un uplift de 5-10% sobre Global Standard.</t>
  </si>
  <si>
    <t xml:space="preserve">Validar precios en la calculadora oficial de Azure al momento de la contratación.</t>
  </si>
  <si>
    <t xml:space="preserve">Códigos de color</t>
  </si>
  <si>
    <t xml:space="preserve">Amarillo claro: celdas de entrada modificables (Cantidad, Sí/No, parámetros).</t>
  </si>
  <si>
    <t xml:space="preserve">Púrpura claro: categoría Azure OpenAI (núcleo de la solución).</t>
  </si>
  <si>
    <t xml:space="preserve">Verde claro: otras categorías de servicios.</t>
  </si>
  <si>
    <t xml:space="preserve">Amarillo intenso: totales calculados.</t>
  </si>
  <si>
    <t xml:space="preserve">Azul: encabezados de columna. Azul en texto: valores de entrada. Negro en texto: fórmulas.</t>
  </si>
  <si>
    <t xml:space="preserve">Escenarios de referencia</t>
  </si>
  <si>
    <t xml:space="preserve">Piloto: 1 caso de uso principal (asistente de compras), GPT-4o mini priorizado, AI Search Basic, ambiente compacto. Foco en validar valor con costo bajo.</t>
  </si>
  <si>
    <t xml:space="preserve">Producción Inicial: 2-3 casos de uso activos, mezcla GPT-4o y mini con routing, AI Search S1, más seguridad y monitoreo.</t>
  </si>
  <si>
    <t xml:space="preserve">Producción a Escala: múltiples casos, alta concurrencia, AI Search S2, Sentinel, Purview ampliado, considerar PTU si el volumen sostenido supera 150M tokens/mes de GPT-4o.</t>
  </si>
  <si>
    <t xml:space="preserve">Sobre el cálculo de tokens</t>
  </si>
  <si>
    <t xml:space="preserve">La unidad "Cantidad" para Azure OpenAI se expresa en MILLONES de tokens al mes.</t>
  </si>
  <si>
    <t xml:space="preserve">Los tokens de entrada y salida se registran en filas separadas porque tienen tarifas distintas (salida cuesta 4x la entrada en GPT-4o).</t>
  </si>
  <si>
    <t xml:space="preserve">Un token equivale aproximadamente a 4 caracteres o 0.75 palabras en español; en inglés la conversión es levemente diferente.</t>
  </si>
  <si>
    <t xml:space="preserve">Un prompt de sistema típico tiene entre 500 y 1,500 tokens. Un contexto recuperado por RAG añade 1,000 a 3,000 tokens.</t>
  </si>
  <si>
    <t xml:space="preserve">Una respuesta narrativa promedio del asistente ocupa entre 300 y 800 tokens.</t>
  </si>
  <si>
    <t xml:space="preserve">Palancas de optimización de costo</t>
  </si>
  <si>
    <t xml:space="preserve">Routing entre modelos: enviar tareas simples a GPT-4o mini y solo respuestas al usuario final a GPT-4o. Ahorro típico: 40-70%.</t>
  </si>
  <si>
    <t xml:space="preserve">Prompt caching: Azure OpenAI descuenta 50-90% en tokens de entrada repetidos entre llamadas consecutivas. Normalizar prompts de sistema.</t>
  </si>
  <si>
    <t xml:space="preserve">Limitar output tokens con el parámetro max_tokens; los tokens de salida cuestan 4 veces más que los de entrada.</t>
  </si>
  <si>
    <t xml:space="preserve">Batch API: 50% de descuento para procesamientos asíncronos (documentos masivos, análisis de reseñas nocturno).</t>
  </si>
  <si>
    <t xml:space="preserve">Migrar a PTU cuando el volumen sostenido supere ~150M tokens/mes de GPT-4o. PTU reservado 1 año añade otro ~40% de descuento.</t>
  </si>
  <si>
    <t xml:space="preserve">Configurar budgets y alertas de costo en Azure Cost Management desde el día uno.</t>
  </si>
  <si>
    <t xml:space="preserve">Componentes NO incluidos en esta calculadora</t>
  </si>
  <si>
    <t xml:space="preserve">Honorarios profesionales del proyecto (se cotizan por separado en la propuesta de servicios).</t>
  </si>
  <si>
    <t xml:space="preserve">Licencias de Microsoft 365, Power BI Pro u otras licencias del cliente.</t>
  </si>
  <si>
    <t xml:space="preserve">Fine-tuning de modelos (no se contempla en el alcance del piloto).</t>
  </si>
  <si>
    <t xml:space="preserve">Servicios de voz (speech-to-text, text-to-speech).</t>
  </si>
  <si>
    <t xml:space="preserve">Costos de red por egress (transferencia saliente): dependen del volumen real.</t>
  </si>
  <si>
    <t xml:space="preserve">Servicios de terceros o marketplace.</t>
  </si>
  <si>
    <t xml:space="preserve">Cómo usar esta calculadora</t>
  </si>
  <si>
    <t xml:space="preserve">1. Revise la hoja "Resumen" para ver los totales por escenario.</t>
  </si>
  <si>
    <t xml:space="preserve">2. En "Detalle", ajuste la columna F (Cantidad) y las columnas H/I/J (Sí/No) según cada escenario.</t>
  </si>
  <si>
    <t xml:space="preserve">3. Consulte "Modelos y Precios" para comparar modelos y tiers de AI Search.</t>
  </si>
  <si>
    <t xml:space="preserve">4. Use "Estimador de Tokens" para modelar su volumen real esperado antes de asignar cantidades en la hoja Detalle.</t>
  </si>
  <si>
    <t xml:space="preserve">5. Antes de contratar, valide precios en la calculadora oficial de Azure para la región y fecha correspondientes.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</si>
</sst>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[RED]&quot;($&quot;#,##0\);\-"/>
    <numFmt numFmtId="166" formatCode="\$#,##0.00;[RED]&quot;($&quot;#,##0.00\);\-"/>
    <numFmt numFmtId="167" formatCode="#,##0.00"/>
    <numFmt numFmtId="168" formatCode="#,##0;[RED]\(#,##0\);\-"/>
    <numFmt numFmtId="169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6CBD"/>
      <name val="Arial"/>
      <family val="0"/>
      <charset val="1"/>
    </font>
    <font>
      <b val="true"/>
      <sz val="12"/>
      <color rgb="FF107C1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6CBD"/>
        <bgColor rgb="FF008080"/>
      </patternFill>
    </fill>
    <fill>
      <patternFill patternType="solid">
        <fgColor rgb="FFD5E8F0"/>
        <bgColor rgb="FFEDE9FE"/>
      </patternFill>
    </fill>
    <fill>
      <patternFill patternType="solid">
        <fgColor rgb="FFFFF2CC"/>
        <bgColor rgb="FFFFFFCC"/>
      </patternFill>
    </fill>
    <fill>
      <patternFill patternType="solid">
        <fgColor rgb="FFEDE9FE"/>
        <bgColor rgb="FFE8F5E9"/>
      </patternFill>
    </fill>
    <fill>
      <patternFill patternType="solid">
        <fgColor rgb="FFE8F5E9"/>
        <bgColor rgb="FFEDE9FE"/>
      </patternFill>
    </fill>
    <fill>
      <patternFill patternType="solid">
        <fgColor rgb="FFFFFFC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F5E9"/>
      <rgbColor rgb="FF660066"/>
      <rgbColor rgb="FFFF8080"/>
      <rgbColor rgb="FF0F6CBD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32"/>
    <col collapsed="false" customWidth="true" hidden="false" outlineLevel="0" max="6" min="6" style="0" width="2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/>
    <row r="4" customFormat="false" ht="21.75" hidden="false" customHeight="true" outlineLevel="0" collapsed="false">
      <c r="A4" s="3" t="s">
        <v>2</v>
      </c>
      <c r="B4" s="4" t="s">
        <v>3</v>
      </c>
    </row>
    <row r="5" customFormat="false" ht="21.75" hidden="false" customHeight="true" outlineLevel="0" collapsed="false">
      <c r="A5" s="3" t="s">
        <v>4</v>
      </c>
      <c r="B5" s="4" t="s">
        <v>5</v>
      </c>
    </row>
    <row r="6" customFormat="false" ht="21.75" hidden="false" customHeight="true" outlineLevel="0" collapsed="false">
      <c r="A6" s="3" t="s">
        <v>6</v>
      </c>
      <c r="B6" s="4" t="s">
        <v>7</v>
      </c>
    </row>
    <row r="7" customFormat="false" ht="21.75" hidden="false" customHeight="true" outlineLevel="0" collapsed="false">
      <c r="A7" s="3" t="s">
        <v>8</v>
      </c>
      <c r="B7" s="4" t="s">
        <v>9</v>
      </c>
    </row>
    <row r="8" customFormat="false" ht="21.75" hidden="false" customHeight="true" outlineLevel="0" collapsed="false">
      <c r="A8" s="3" t="s">
        <v>10</v>
      </c>
      <c r="B8" s="4" t="s">
        <v>11</v>
      </c>
    </row>
    <row r="9" customFormat="false" ht="21.75" hidden="false" customHeight="true" outlineLevel="0" collapsed="false"/>
    <row r="10" customFormat="false" ht="21.75" hidden="false" customHeight="true" outlineLevel="0" collapsed="false">
      <c r="A10" s="2" t="s">
        <v>12</v>
      </c>
      <c r="B10" s="2"/>
      <c r="C10" s="2"/>
      <c r="D10" s="2"/>
      <c r="E10" s="2"/>
      <c r="F10" s="2"/>
    </row>
    <row r="11" customFormat="false" ht="21.75" hidden="false" customHeight="true" outlineLevel="0" collapsed="false"/>
    <row r="12" customFormat="false" ht="21.75" hidden="false" customHeight="true" outlineLevel="0" collapsed="false">
      <c r="A12" s="5" t="s">
        <v>13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</row>
    <row r="13" customFormat="false" ht="21.75" hidden="false" customHeight="true" outlineLevel="0" collapsed="false">
      <c r="A13" s="6" t="s">
        <v>19</v>
      </c>
      <c r="B13" s="7" t="s">
        <v>20</v>
      </c>
      <c r="C13" s="8" t="n">
        <f aca="false">SUMIF(Detalle!H:H,"Sí",Detalle!K:K)</f>
        <v>289.265</v>
      </c>
      <c r="D13" s="8" t="n">
        <f aca="false">C13*12</f>
        <v>3471.18</v>
      </c>
      <c r="E13" s="7" t="s">
        <v>21</v>
      </c>
      <c r="F13" s="7" t="s">
        <v>22</v>
      </c>
    </row>
    <row r="14" customFormat="false" ht="21.75" hidden="false" customHeight="true" outlineLevel="0" collapsed="false">
      <c r="A14" s="6" t="s">
        <v>23</v>
      </c>
      <c r="B14" s="7" t="s">
        <v>24</v>
      </c>
      <c r="C14" s="8" t="n">
        <f aca="false">SUMIF(Detalle!I:I,"Sí",Detalle!L:L)</f>
        <v>1921.4</v>
      </c>
      <c r="D14" s="8" t="n">
        <f aca="false">C14*12</f>
        <v>23056.8</v>
      </c>
      <c r="E14" s="7" t="s">
        <v>25</v>
      </c>
      <c r="F14" s="7" t="s">
        <v>26</v>
      </c>
    </row>
    <row r="15" customFormat="false" ht="21.75" hidden="false" customHeight="true" outlineLevel="0" collapsed="false">
      <c r="A15" s="6" t="s">
        <v>27</v>
      </c>
      <c r="B15" s="7" t="s">
        <v>28</v>
      </c>
      <c r="C15" s="8" t="n">
        <f aca="false">SUMIF(Detalle!J:J,"Sí",Detalle!M:M)</f>
        <v>4826.65</v>
      </c>
      <c r="D15" s="8" t="n">
        <f aca="false">C15*12</f>
        <v>57919.8</v>
      </c>
      <c r="E15" s="7" t="s">
        <v>29</v>
      </c>
      <c r="F15" s="7" t="s">
        <v>30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>
      <c r="A18" s="2" t="s">
        <v>31</v>
      </c>
      <c r="B18" s="2"/>
      <c r="C18" s="2"/>
      <c r="D18" s="2"/>
      <c r="E18" s="2"/>
      <c r="F18" s="2"/>
    </row>
    <row r="19" customFormat="false" ht="21.75" hidden="false" customHeight="true" outlineLevel="0" collapsed="false"/>
    <row r="20" customFormat="false" ht="21.75" hidden="false" customHeight="true" outlineLevel="0" collapsed="false">
      <c r="A20" s="5" t="s">
        <v>32</v>
      </c>
      <c r="B20" s="5" t="s">
        <v>19</v>
      </c>
      <c r="C20" s="5" t="s">
        <v>23</v>
      </c>
      <c r="D20" s="5" t="s">
        <v>27</v>
      </c>
      <c r="E20" s="5"/>
      <c r="F20" s="5"/>
    </row>
    <row r="21" customFormat="false" ht="21.75" hidden="false" customHeight="true" outlineLevel="0" collapsed="false">
      <c r="A21" s="9" t="s">
        <v>33</v>
      </c>
      <c r="B21" s="10" t="n">
        <f aca="false">SUMIFS(Detalle!K:K,Detalle!A:A,A21,Detalle!H:H,"Sí")</f>
        <v>3.215</v>
      </c>
      <c r="C21" s="10" t="n">
        <f aca="false">SUMIFS(Detalle!L:L,Detalle!A:A,A21,Detalle!I:I,"Sí")</f>
        <v>47.15</v>
      </c>
      <c r="D21" s="10" t="n">
        <f aca="false">SUMIFS(Detalle!M:M,Detalle!A:A,A21,Detalle!J:J,"Sí")</f>
        <v>222.4</v>
      </c>
    </row>
    <row r="22" customFormat="false" ht="21.75" hidden="false" customHeight="true" outlineLevel="0" collapsed="false">
      <c r="A22" s="11" t="s">
        <v>34</v>
      </c>
      <c r="B22" s="10" t="n">
        <f aca="false">SUMIFS(Detalle!K:K,Detalle!A:A,A22,Detalle!H:H,"Sí")</f>
        <v>75</v>
      </c>
      <c r="C22" s="10" t="n">
        <f aca="false">SUMIFS(Detalle!L:L,Detalle!A:A,A22,Detalle!I:I,"Sí")</f>
        <v>250</v>
      </c>
      <c r="D22" s="10" t="n">
        <f aca="false">SUMIFS(Detalle!M:M,Detalle!A:A,A22,Detalle!J:J,"Sí")</f>
        <v>1000</v>
      </c>
    </row>
    <row r="23" customFormat="false" ht="21.75" hidden="false" customHeight="true" outlineLevel="0" collapsed="false">
      <c r="A23" s="11" t="s">
        <v>35</v>
      </c>
      <c r="B23" s="10" t="n">
        <f aca="false">SUMIFS(Detalle!K:K,Detalle!A:A,A23,Detalle!H:H,"Sí")</f>
        <v>5.15</v>
      </c>
      <c r="C23" s="10" t="n">
        <f aca="false">SUMIFS(Detalle!L:L,Detalle!A:A,A23,Detalle!I:I,"Sí")</f>
        <v>50.15</v>
      </c>
      <c r="D23" s="10" t="n">
        <f aca="false">SUMIFS(Detalle!M:M,Detalle!A:A,A23,Detalle!J:J,"Sí")</f>
        <v>500.15</v>
      </c>
    </row>
    <row r="24" customFormat="false" ht="21.75" hidden="false" customHeight="true" outlineLevel="0" collapsed="false">
      <c r="A24" s="11" t="s">
        <v>36</v>
      </c>
      <c r="B24" s="10" t="n">
        <f aca="false">SUMIFS(Detalle!K:K,Detalle!A:A,A24,Detalle!H:H,"Sí")</f>
        <v>52.9</v>
      </c>
      <c r="C24" s="10" t="n">
        <f aca="false">SUMIFS(Detalle!L:L,Detalle!A:A,A24,Detalle!I:I,"Sí")</f>
        <v>52.9</v>
      </c>
      <c r="D24" s="10" t="n">
        <f aca="false">SUMIFS(Detalle!M:M,Detalle!A:A,A24,Detalle!J:J,"Sí")</f>
        <v>52.9</v>
      </c>
    </row>
    <row r="25" customFormat="false" ht="21.75" hidden="false" customHeight="true" outlineLevel="0" collapsed="false">
      <c r="A25" s="11" t="s">
        <v>37</v>
      </c>
      <c r="B25" s="10" t="n">
        <f aca="false">SUMIFS(Detalle!K:K,Detalle!A:A,A25,Detalle!H:H,"Sí")</f>
        <v>95</v>
      </c>
      <c r="C25" s="10" t="n">
        <f aca="false">SUMIFS(Detalle!L:L,Detalle!A:A,A25,Detalle!I:I,"Sí")</f>
        <v>210</v>
      </c>
      <c r="D25" s="10" t="n">
        <f aca="false">SUMIFS(Detalle!M:M,Detalle!A:A,A25,Detalle!J:J,"Sí")</f>
        <v>280</v>
      </c>
    </row>
    <row r="26" customFormat="false" ht="21.75" hidden="false" customHeight="true" outlineLevel="0" collapsed="false">
      <c r="A26" s="11" t="s">
        <v>38</v>
      </c>
      <c r="B26" s="10" t="n">
        <f aca="false">SUMIFS(Detalle!K:K,Detalle!A:A,A26,Detalle!H:H,"Sí")</f>
        <v>0</v>
      </c>
      <c r="C26" s="10" t="n">
        <f aca="false">SUMIFS(Detalle!L:L,Detalle!A:A,A26,Detalle!I:I,"Sí")</f>
        <v>463.2</v>
      </c>
      <c r="D26" s="10" t="n">
        <f aca="false">SUMIFS(Detalle!M:M,Detalle!A:A,A26,Detalle!J:J,"Sí")</f>
        <v>1306.2</v>
      </c>
    </row>
    <row r="27" customFormat="false" ht="21.75" hidden="false" customHeight="true" outlineLevel="0" collapsed="false">
      <c r="A27" s="11" t="s">
        <v>39</v>
      </c>
      <c r="B27" s="10" t="n">
        <f aca="false">SUMIFS(Detalle!K:K,Detalle!A:A,A27,Detalle!H:H,"Sí")</f>
        <v>25</v>
      </c>
      <c r="C27" s="10" t="n">
        <f aca="false">SUMIFS(Detalle!L:L,Detalle!A:A,A27,Detalle!I:I,"Sí")</f>
        <v>215</v>
      </c>
      <c r="D27" s="10" t="n">
        <f aca="false">SUMIFS(Detalle!M:M,Detalle!A:A,A27,Detalle!J:J,"Sí")</f>
        <v>440</v>
      </c>
    </row>
    <row r="28" customFormat="false" ht="21.75" hidden="false" customHeight="true" outlineLevel="0" collapsed="false">
      <c r="A28" s="11" t="s">
        <v>40</v>
      </c>
      <c r="B28" s="10" t="n">
        <f aca="false">SUMIFS(Detalle!K:K,Detalle!A:A,A28,Detalle!H:H,"Sí")</f>
        <v>33</v>
      </c>
      <c r="C28" s="10" t="n">
        <f aca="false">SUMIFS(Detalle!L:L,Detalle!A:A,A28,Detalle!I:I,"Sí")</f>
        <v>33</v>
      </c>
      <c r="D28" s="10" t="n">
        <f aca="false">SUMIFS(Detalle!M:M,Detalle!A:A,A28,Detalle!J:J,"Sí")</f>
        <v>125</v>
      </c>
    </row>
    <row r="29" customFormat="false" ht="21.75" hidden="false" customHeight="true" outlineLevel="0" collapsed="false">
      <c r="A29" s="11" t="s">
        <v>41</v>
      </c>
      <c r="B29" s="10" t="n">
        <f aca="false">SUMIFS(Detalle!K:K,Detalle!A:A,A29,Detalle!H:H,"Sí")</f>
        <v>0</v>
      </c>
      <c r="C29" s="10" t="n">
        <f aca="false">SUMIFS(Detalle!L:L,Detalle!A:A,A29,Detalle!I:I,"Sí")</f>
        <v>500</v>
      </c>
      <c r="D29" s="10" t="n">
        <f aca="false">SUMIFS(Detalle!M:M,Detalle!A:A,A29,Detalle!J:J,"Sí")</f>
        <v>800</v>
      </c>
    </row>
    <row r="30" customFormat="false" ht="21.75" hidden="false" customHeight="true" outlineLevel="0" collapsed="false">
      <c r="A30" s="11" t="s">
        <v>42</v>
      </c>
      <c r="B30" s="10" t="n">
        <f aca="false">SUMIFS(Detalle!K:K,Detalle!A:A,A30,Detalle!H:H,"Sí")</f>
        <v>0</v>
      </c>
      <c r="C30" s="10" t="n">
        <f aca="false">SUMIFS(Detalle!L:L,Detalle!A:A,A30,Detalle!I:I,"Sí")</f>
        <v>100</v>
      </c>
      <c r="D30" s="10" t="n">
        <f aca="false">SUMIFS(Detalle!M:M,Detalle!A:A,A30,Detalle!J:J,"Sí")</f>
        <v>100</v>
      </c>
    </row>
    <row r="31" customFormat="false" ht="21.75" hidden="false" customHeight="true" outlineLevel="0" collapsed="false">
      <c r="A31" s="12" t="s">
        <v>43</v>
      </c>
      <c r="B31" s="8" t="n">
        <f aca="false">SUM(B21:B30)</f>
        <v>289.265</v>
      </c>
      <c r="C31" s="8" t="n">
        <f aca="false">SUM(C21:C30)</f>
        <v>1921.4</v>
      </c>
      <c r="D31" s="8" t="n">
        <f aca="false">SUM(D21:D30)</f>
        <v>4826.65</v>
      </c>
    </row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>
      <c r="A34" s="13" t="s">
        <v>44</v>
      </c>
    </row>
    <row r="35" customFormat="false" ht="21.75" hidden="false" customHeight="true" outlineLevel="0" collapsed="false">
      <c r="A35" s="14" t="s">
        <v>45</v>
      </c>
      <c r="B35" s="14"/>
      <c r="C35" s="14"/>
      <c r="D35" s="14"/>
      <c r="E35" s="14"/>
      <c r="F35" s="14"/>
    </row>
    <row r="36" customFormat="false" ht="21.75" hidden="false" customHeight="true" outlineLevel="0" collapsed="false">
      <c r="A36" s="14" t="s">
        <v>46</v>
      </c>
      <c r="B36" s="14"/>
      <c r="C36" s="14"/>
      <c r="D36" s="14"/>
      <c r="E36" s="14"/>
      <c r="F36" s="14"/>
    </row>
    <row r="37" customFormat="false" ht="21.75" hidden="false" customHeight="true" outlineLevel="0" collapsed="false">
      <c r="A37" s="14" t="s">
        <v>47</v>
      </c>
      <c r="B37" s="14"/>
      <c r="C37" s="14"/>
      <c r="D37" s="14"/>
      <c r="E37" s="14"/>
      <c r="F37" s="14"/>
    </row>
    <row r="38" customFormat="false" ht="21.75" hidden="false" customHeight="true" outlineLevel="0" collapsed="false">
      <c r="A38" s="14" t="s">
        <v>48</v>
      </c>
      <c r="B38" s="14"/>
      <c r="C38" s="14"/>
      <c r="D38" s="14"/>
      <c r="E38" s="14"/>
      <c r="F38" s="14"/>
    </row>
    <row r="39" customFormat="false" ht="21.75" hidden="false" customHeight="true" outlineLevel="0" collapsed="false">
      <c r="A39" s="14" t="s">
        <v>49</v>
      </c>
      <c r="B39" s="14"/>
      <c r="C39" s="14"/>
      <c r="D39" s="14"/>
      <c r="E39" s="14"/>
      <c r="F39" s="14"/>
    </row>
    <row r="40" customFormat="false" ht="21.75" hidden="false" customHeight="true" outlineLevel="0" collapsed="false">
      <c r="A40" s="14" t="s">
        <v>50</v>
      </c>
      <c r="B40" s="14"/>
      <c r="C40" s="14"/>
      <c r="D40" s="14"/>
      <c r="E40" s="14"/>
      <c r="F40" s="14"/>
    </row>
    <row r="41" customFormat="false" ht="21.75" hidden="false" customHeight="true" outlineLevel="0" collapsed="false"/>
  </sheetData>
  <mergeCells count="10">
    <mergeCell ref="A1:F1"/>
    <mergeCell ref="A2:F2"/>
    <mergeCell ref="A10:F10"/>
    <mergeCell ref="A18:F18"/>
    <mergeCell ref="A35:F35"/>
    <mergeCell ref="A36:F36"/>
    <mergeCell ref="A37:F37"/>
    <mergeCell ref="A38:F38"/>
    <mergeCell ref="A39:F39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1" min="9" style="0" width="14"/>
    <col collapsed="false" customWidth="true" hidden="false" outlineLevel="0" max="13" min="12" style="0" width="16"/>
    <col collapsed="false" customWidth="true" hidden="false" outlineLevel="0" max="14" min="14" style="0" width="60"/>
  </cols>
  <sheetData>
    <row r="1" customFormat="false" ht="25.5" hidden="false" customHeight="true" outlineLevel="0" collapsed="false">
      <c r="A1" s="15" t="s">
        <v>51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customFormat="false" ht="15" hidden="false" customHeight="false" outlineLevel="0" collapsed="false">
      <c r="A2" s="16" t="s">
        <v>52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customFormat="false" ht="42" hidden="false" customHeight="true" outlineLevel="0" collapsed="false">
      <c r="A4" s="5" t="s">
        <v>32</v>
      </c>
      <c r="B4" s="5" t="s">
        <v>53</v>
      </c>
      <c r="C4" s="5" t="s">
        <v>54</v>
      </c>
      <c r="D4" s="5" t="s">
        <v>55</v>
      </c>
      <c r="E4" s="5" t="s">
        <v>56</v>
      </c>
      <c r="F4" s="5" t="s">
        <v>57</v>
      </c>
      <c r="G4" s="5" t="s">
        <v>15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</row>
    <row r="5" customFormat="false" ht="31.5" hidden="false" customHeight="true" outlineLevel="0" collapsed="false">
      <c r="A5" s="17" t="s">
        <v>33</v>
      </c>
      <c r="B5" s="7" t="s">
        <v>65</v>
      </c>
      <c r="C5" s="7" t="s">
        <v>66</v>
      </c>
      <c r="D5" s="7" t="s">
        <v>67</v>
      </c>
      <c r="E5" s="10" t="n">
        <v>2.5</v>
      </c>
      <c r="F5" s="18" t="n">
        <v>0.3</v>
      </c>
      <c r="G5" s="10" t="n">
        <f aca="false">E5*F5</f>
        <v>0.75</v>
      </c>
      <c r="H5" s="19" t="s">
        <v>68</v>
      </c>
      <c r="I5" s="19" t="s">
        <v>69</v>
      </c>
      <c r="J5" s="19" t="s">
        <v>69</v>
      </c>
      <c r="K5" s="10" t="n">
        <f aca="false">IF(H5="Sí",G5,0)</f>
        <v>0.75</v>
      </c>
      <c r="L5" s="10" t="n">
        <f aca="false">IF(I5="Sí",G5,0)</f>
        <v>0</v>
      </c>
      <c r="M5" s="10" t="n">
        <f aca="false">IF(J5="Sí",G5,0)</f>
        <v>0</v>
      </c>
      <c r="N5" s="20" t="s">
        <v>70</v>
      </c>
    </row>
    <row r="6" customFormat="false" ht="31.5" hidden="false" customHeight="true" outlineLevel="0" collapsed="false">
      <c r="A6" s="17" t="s">
        <v>33</v>
      </c>
      <c r="B6" s="7" t="s">
        <v>71</v>
      </c>
      <c r="C6" s="7" t="s">
        <v>66</v>
      </c>
      <c r="D6" s="7" t="s">
        <v>67</v>
      </c>
      <c r="E6" s="10" t="n">
        <v>2.5</v>
      </c>
      <c r="F6" s="18" t="n">
        <v>5</v>
      </c>
      <c r="G6" s="10" t="n">
        <f aca="false">E6*F6</f>
        <v>12.5</v>
      </c>
      <c r="H6" s="19" t="s">
        <v>69</v>
      </c>
      <c r="I6" s="19" t="s">
        <v>68</v>
      </c>
      <c r="J6" s="19" t="s">
        <v>69</v>
      </c>
      <c r="K6" s="10" t="n">
        <f aca="false">IF(H6="Sí",G6,0)</f>
        <v>0</v>
      </c>
      <c r="L6" s="10" t="n">
        <f aca="false">IF(I6="Sí",G6,0)</f>
        <v>12.5</v>
      </c>
      <c r="M6" s="10" t="n">
        <f aca="false">IF(J6="Sí",G6,0)</f>
        <v>0</v>
      </c>
      <c r="N6" s="20" t="s">
        <v>72</v>
      </c>
    </row>
    <row r="7" customFormat="false" ht="31.5" hidden="false" customHeight="true" outlineLevel="0" collapsed="false">
      <c r="A7" s="17" t="s">
        <v>33</v>
      </c>
      <c r="B7" s="7" t="s">
        <v>73</v>
      </c>
      <c r="C7" s="7" t="s">
        <v>66</v>
      </c>
      <c r="D7" s="7" t="s">
        <v>67</v>
      </c>
      <c r="E7" s="10" t="n">
        <v>2.5</v>
      </c>
      <c r="F7" s="18" t="n">
        <v>25</v>
      </c>
      <c r="G7" s="10" t="n">
        <f aca="false">E7*F7</f>
        <v>62.5</v>
      </c>
      <c r="H7" s="19" t="s">
        <v>69</v>
      </c>
      <c r="I7" s="19" t="s">
        <v>69</v>
      </c>
      <c r="J7" s="19" t="s">
        <v>68</v>
      </c>
      <c r="K7" s="10" t="n">
        <f aca="false">IF(H7="Sí",G7,0)</f>
        <v>0</v>
      </c>
      <c r="L7" s="10" t="n">
        <f aca="false">IF(I7="Sí",G7,0)</f>
        <v>0</v>
      </c>
      <c r="M7" s="10" t="n">
        <f aca="false">IF(J7="Sí",G7,0)</f>
        <v>62.5</v>
      </c>
      <c r="N7" s="20" t="s">
        <v>74</v>
      </c>
    </row>
    <row r="8" customFormat="false" ht="31.5" hidden="false" customHeight="true" outlineLevel="0" collapsed="false">
      <c r="A8" s="17" t="s">
        <v>33</v>
      </c>
      <c r="B8" s="7" t="s">
        <v>75</v>
      </c>
      <c r="C8" s="7" t="s">
        <v>66</v>
      </c>
      <c r="D8" s="7" t="s">
        <v>67</v>
      </c>
      <c r="E8" s="10" t="n">
        <v>10</v>
      </c>
      <c r="F8" s="18" t="n">
        <v>0.15</v>
      </c>
      <c r="G8" s="10" t="n">
        <f aca="false">E8*F8</f>
        <v>1.5</v>
      </c>
      <c r="H8" s="19" t="s">
        <v>68</v>
      </c>
      <c r="I8" s="19" t="s">
        <v>69</v>
      </c>
      <c r="J8" s="19" t="s">
        <v>69</v>
      </c>
      <c r="K8" s="10" t="n">
        <f aca="false">IF(H8="Sí",G8,0)</f>
        <v>1.5</v>
      </c>
      <c r="L8" s="10" t="n">
        <f aca="false">IF(I8="Sí",G8,0)</f>
        <v>0</v>
      </c>
      <c r="M8" s="10" t="n">
        <f aca="false">IF(J8="Sí",G8,0)</f>
        <v>0</v>
      </c>
      <c r="N8" s="20" t="s">
        <v>76</v>
      </c>
    </row>
    <row r="9" customFormat="false" ht="31.5" hidden="false" customHeight="true" outlineLevel="0" collapsed="false">
      <c r="A9" s="17" t="s">
        <v>33</v>
      </c>
      <c r="B9" s="7" t="s">
        <v>77</v>
      </c>
      <c r="C9" s="7" t="s">
        <v>66</v>
      </c>
      <c r="D9" s="7" t="s">
        <v>67</v>
      </c>
      <c r="E9" s="10" t="n">
        <v>10</v>
      </c>
      <c r="F9" s="18" t="n">
        <v>2.5</v>
      </c>
      <c r="G9" s="10" t="n">
        <f aca="false">E9*F9</f>
        <v>25</v>
      </c>
      <c r="H9" s="19" t="s">
        <v>69</v>
      </c>
      <c r="I9" s="19" t="s">
        <v>68</v>
      </c>
      <c r="J9" s="19" t="s">
        <v>69</v>
      </c>
      <c r="K9" s="10" t="n">
        <f aca="false">IF(H9="Sí",G9,0)</f>
        <v>0</v>
      </c>
      <c r="L9" s="10" t="n">
        <f aca="false">IF(I9="Sí",G9,0)</f>
        <v>25</v>
      </c>
      <c r="M9" s="10" t="n">
        <f aca="false">IF(J9="Sí",G9,0)</f>
        <v>0</v>
      </c>
      <c r="N9" s="20" t="s">
        <v>78</v>
      </c>
    </row>
    <row r="10" customFormat="false" ht="31.5" hidden="false" customHeight="true" outlineLevel="0" collapsed="false">
      <c r="A10" s="17" t="s">
        <v>33</v>
      </c>
      <c r="B10" s="7" t="s">
        <v>79</v>
      </c>
      <c r="C10" s="7" t="s">
        <v>66</v>
      </c>
      <c r="D10" s="7" t="s">
        <v>67</v>
      </c>
      <c r="E10" s="10" t="n">
        <v>10</v>
      </c>
      <c r="F10" s="18" t="n">
        <v>12</v>
      </c>
      <c r="G10" s="10" t="n">
        <f aca="false">E10*F10</f>
        <v>120</v>
      </c>
      <c r="H10" s="19" t="s">
        <v>69</v>
      </c>
      <c r="I10" s="19" t="s">
        <v>69</v>
      </c>
      <c r="J10" s="19" t="s">
        <v>68</v>
      </c>
      <c r="K10" s="10" t="n">
        <f aca="false">IF(H10="Sí",G10,0)</f>
        <v>0</v>
      </c>
      <c r="L10" s="10" t="n">
        <f aca="false">IF(I10="Sí",G10,0)</f>
        <v>0</v>
      </c>
      <c r="M10" s="10" t="n">
        <f aca="false">IF(J10="Sí",G10,0)</f>
        <v>120</v>
      </c>
      <c r="N10" s="20" t="s">
        <v>78</v>
      </c>
    </row>
    <row r="11" customFormat="false" ht="31.5" hidden="false" customHeight="true" outlineLevel="0" collapsed="false">
      <c r="A11" s="17" t="s">
        <v>33</v>
      </c>
      <c r="B11" s="7" t="s">
        <v>80</v>
      </c>
      <c r="C11" s="7" t="s">
        <v>66</v>
      </c>
      <c r="D11" s="7" t="s">
        <v>67</v>
      </c>
      <c r="E11" s="10" t="n">
        <v>0.15</v>
      </c>
      <c r="F11" s="18" t="n">
        <v>2</v>
      </c>
      <c r="G11" s="10" t="n">
        <f aca="false">E11*F11</f>
        <v>0.3</v>
      </c>
      <c r="H11" s="19" t="s">
        <v>68</v>
      </c>
      <c r="I11" s="19" t="s">
        <v>69</v>
      </c>
      <c r="J11" s="19" t="s">
        <v>69</v>
      </c>
      <c r="K11" s="10" t="n">
        <f aca="false">IF(H11="Sí",G11,0)</f>
        <v>0.3</v>
      </c>
      <c r="L11" s="10" t="n">
        <f aca="false">IF(I11="Sí",G11,0)</f>
        <v>0</v>
      </c>
      <c r="M11" s="10" t="n">
        <f aca="false">IF(J11="Sí",G11,0)</f>
        <v>0</v>
      </c>
      <c r="N11" s="20" t="s">
        <v>81</v>
      </c>
    </row>
    <row r="12" customFormat="false" ht="31.5" hidden="false" customHeight="true" outlineLevel="0" collapsed="false">
      <c r="A12" s="17" t="s">
        <v>33</v>
      </c>
      <c r="B12" s="7" t="s">
        <v>82</v>
      </c>
      <c r="C12" s="7" t="s">
        <v>66</v>
      </c>
      <c r="D12" s="7" t="s">
        <v>67</v>
      </c>
      <c r="E12" s="10" t="n">
        <v>0.15</v>
      </c>
      <c r="F12" s="18" t="n">
        <v>20</v>
      </c>
      <c r="G12" s="10" t="n">
        <f aca="false">E12*F12</f>
        <v>3</v>
      </c>
      <c r="H12" s="19" t="s">
        <v>69</v>
      </c>
      <c r="I12" s="19" t="s">
        <v>68</v>
      </c>
      <c r="J12" s="19" t="s">
        <v>69</v>
      </c>
      <c r="K12" s="10" t="n">
        <f aca="false">IF(H12="Sí",G12,0)</f>
        <v>0</v>
      </c>
      <c r="L12" s="10" t="n">
        <f aca="false">IF(I12="Sí",G12,0)</f>
        <v>3</v>
      </c>
      <c r="M12" s="10" t="n">
        <f aca="false">IF(J12="Sí",G12,0)</f>
        <v>0</v>
      </c>
      <c r="N12" s="20" t="s">
        <v>83</v>
      </c>
    </row>
    <row r="13" customFormat="false" ht="31.5" hidden="false" customHeight="true" outlineLevel="0" collapsed="false">
      <c r="A13" s="17" t="s">
        <v>33</v>
      </c>
      <c r="B13" s="7" t="s">
        <v>84</v>
      </c>
      <c r="C13" s="7" t="s">
        <v>66</v>
      </c>
      <c r="D13" s="7" t="s">
        <v>67</v>
      </c>
      <c r="E13" s="10" t="n">
        <v>0.15</v>
      </c>
      <c r="F13" s="18" t="n">
        <v>80</v>
      </c>
      <c r="G13" s="10" t="n">
        <f aca="false">E13*F13</f>
        <v>12</v>
      </c>
      <c r="H13" s="19" t="s">
        <v>69</v>
      </c>
      <c r="I13" s="19" t="s">
        <v>69</v>
      </c>
      <c r="J13" s="19" t="s">
        <v>68</v>
      </c>
      <c r="K13" s="10" t="n">
        <f aca="false">IF(H13="Sí",G13,0)</f>
        <v>0</v>
      </c>
      <c r="L13" s="10" t="n">
        <f aca="false">IF(I13="Sí",G13,0)</f>
        <v>0</v>
      </c>
      <c r="M13" s="10" t="n">
        <f aca="false">IF(J13="Sí",G13,0)</f>
        <v>12</v>
      </c>
      <c r="N13" s="20" t="s">
        <v>85</v>
      </c>
    </row>
    <row r="14" customFormat="false" ht="31.5" hidden="false" customHeight="true" outlineLevel="0" collapsed="false">
      <c r="A14" s="17" t="s">
        <v>33</v>
      </c>
      <c r="B14" s="7" t="s">
        <v>86</v>
      </c>
      <c r="C14" s="7" t="s">
        <v>66</v>
      </c>
      <c r="D14" s="7" t="s">
        <v>67</v>
      </c>
      <c r="E14" s="10" t="n">
        <v>0.6</v>
      </c>
      <c r="F14" s="18" t="n">
        <v>1</v>
      </c>
      <c r="G14" s="10" t="n">
        <f aca="false">E14*F14</f>
        <v>0.6</v>
      </c>
      <c r="H14" s="19" t="s">
        <v>68</v>
      </c>
      <c r="I14" s="19" t="s">
        <v>69</v>
      </c>
      <c r="J14" s="19" t="s">
        <v>69</v>
      </c>
      <c r="K14" s="10" t="n">
        <f aca="false">IF(H14="Sí",G14,0)</f>
        <v>0.6</v>
      </c>
      <c r="L14" s="10" t="n">
        <f aca="false">IF(I14="Sí",G14,0)</f>
        <v>0</v>
      </c>
      <c r="M14" s="10" t="n">
        <f aca="false">IF(J14="Sí",G14,0)</f>
        <v>0</v>
      </c>
      <c r="N14" s="20" t="s">
        <v>87</v>
      </c>
    </row>
    <row r="15" customFormat="false" ht="31.5" hidden="false" customHeight="true" outlineLevel="0" collapsed="false">
      <c r="A15" s="17" t="s">
        <v>33</v>
      </c>
      <c r="B15" s="7" t="s">
        <v>88</v>
      </c>
      <c r="C15" s="7" t="s">
        <v>66</v>
      </c>
      <c r="D15" s="7" t="s">
        <v>67</v>
      </c>
      <c r="E15" s="10" t="n">
        <v>0.6</v>
      </c>
      <c r="F15" s="18" t="n">
        <v>10</v>
      </c>
      <c r="G15" s="10" t="n">
        <f aca="false">E15*F15</f>
        <v>6</v>
      </c>
      <c r="H15" s="19" t="s">
        <v>69</v>
      </c>
      <c r="I15" s="19" t="s">
        <v>68</v>
      </c>
      <c r="J15" s="19" t="s">
        <v>69</v>
      </c>
      <c r="K15" s="10" t="n">
        <f aca="false">IF(H15="Sí",G15,0)</f>
        <v>0</v>
      </c>
      <c r="L15" s="10" t="n">
        <f aca="false">IF(I15="Sí",G15,0)</f>
        <v>6</v>
      </c>
      <c r="M15" s="10" t="n">
        <f aca="false">IF(J15="Sí",G15,0)</f>
        <v>0</v>
      </c>
      <c r="N15" s="20" t="s">
        <v>87</v>
      </c>
    </row>
    <row r="16" customFormat="false" ht="31.5" hidden="false" customHeight="true" outlineLevel="0" collapsed="false">
      <c r="A16" s="17" t="s">
        <v>33</v>
      </c>
      <c r="B16" s="7" t="s">
        <v>89</v>
      </c>
      <c r="C16" s="7" t="s">
        <v>66</v>
      </c>
      <c r="D16" s="7" t="s">
        <v>67</v>
      </c>
      <c r="E16" s="10" t="n">
        <v>0.6</v>
      </c>
      <c r="F16" s="18" t="n">
        <v>40</v>
      </c>
      <c r="G16" s="10" t="n">
        <f aca="false">E16*F16</f>
        <v>24</v>
      </c>
      <c r="H16" s="19" t="s">
        <v>69</v>
      </c>
      <c r="I16" s="19" t="s">
        <v>69</v>
      </c>
      <c r="J16" s="19" t="s">
        <v>68</v>
      </c>
      <c r="K16" s="10" t="n">
        <f aca="false">IF(H16="Sí",G16,0)</f>
        <v>0</v>
      </c>
      <c r="L16" s="10" t="n">
        <f aca="false">IF(I16="Sí",G16,0)</f>
        <v>0</v>
      </c>
      <c r="M16" s="10" t="n">
        <f aca="false">IF(J16="Sí",G16,0)</f>
        <v>24</v>
      </c>
      <c r="N16" s="20" t="s">
        <v>87</v>
      </c>
    </row>
    <row r="17" customFormat="false" ht="31.5" hidden="false" customHeight="true" outlineLevel="0" collapsed="false">
      <c r="A17" s="17" t="s">
        <v>33</v>
      </c>
      <c r="B17" s="7" t="s">
        <v>90</v>
      </c>
      <c r="C17" s="7" t="s">
        <v>91</v>
      </c>
      <c r="D17" s="7" t="s">
        <v>67</v>
      </c>
      <c r="E17" s="10" t="n">
        <v>0.13</v>
      </c>
      <c r="F17" s="18" t="n">
        <v>0.5</v>
      </c>
      <c r="G17" s="10" t="n">
        <f aca="false">E17*F17</f>
        <v>0.065</v>
      </c>
      <c r="H17" s="19" t="s">
        <v>68</v>
      </c>
      <c r="I17" s="19" t="s">
        <v>69</v>
      </c>
      <c r="J17" s="19" t="s">
        <v>69</v>
      </c>
      <c r="K17" s="10" t="n">
        <f aca="false">IF(H17="Sí",G17,0)</f>
        <v>0.065</v>
      </c>
      <c r="L17" s="10" t="n">
        <f aca="false">IF(I17="Sí",G17,0)</f>
        <v>0</v>
      </c>
      <c r="M17" s="10" t="n">
        <f aca="false">IF(J17="Sí",G17,0)</f>
        <v>0</v>
      </c>
      <c r="N17" s="20" t="s">
        <v>92</v>
      </c>
    </row>
    <row r="18" customFormat="false" ht="31.5" hidden="false" customHeight="true" outlineLevel="0" collapsed="false">
      <c r="A18" s="17" t="s">
        <v>33</v>
      </c>
      <c r="B18" s="7" t="s">
        <v>93</v>
      </c>
      <c r="C18" s="7" t="s">
        <v>91</v>
      </c>
      <c r="D18" s="7" t="s">
        <v>67</v>
      </c>
      <c r="E18" s="10" t="n">
        <v>0.13</v>
      </c>
      <c r="F18" s="18" t="n">
        <v>5</v>
      </c>
      <c r="G18" s="10" t="n">
        <f aca="false">E18*F18</f>
        <v>0.65</v>
      </c>
      <c r="H18" s="19" t="s">
        <v>69</v>
      </c>
      <c r="I18" s="19" t="s">
        <v>68</v>
      </c>
      <c r="J18" s="19" t="s">
        <v>69</v>
      </c>
      <c r="K18" s="10" t="n">
        <f aca="false">IF(H18="Sí",G18,0)</f>
        <v>0</v>
      </c>
      <c r="L18" s="10" t="n">
        <f aca="false">IF(I18="Sí",G18,0)</f>
        <v>0.65</v>
      </c>
      <c r="M18" s="10" t="n">
        <f aca="false">IF(J18="Sí",G18,0)</f>
        <v>0</v>
      </c>
      <c r="N18" s="20" t="s">
        <v>94</v>
      </c>
    </row>
    <row r="19" customFormat="false" ht="31.5" hidden="false" customHeight="true" outlineLevel="0" collapsed="false">
      <c r="A19" s="17" t="s">
        <v>33</v>
      </c>
      <c r="B19" s="7" t="s">
        <v>95</v>
      </c>
      <c r="C19" s="7" t="s">
        <v>91</v>
      </c>
      <c r="D19" s="7" t="s">
        <v>67</v>
      </c>
      <c r="E19" s="10" t="n">
        <v>0.13</v>
      </c>
      <c r="F19" s="18" t="n">
        <v>30</v>
      </c>
      <c r="G19" s="10" t="n">
        <f aca="false">E19*F19</f>
        <v>3.9</v>
      </c>
      <c r="H19" s="19" t="s">
        <v>69</v>
      </c>
      <c r="I19" s="19" t="s">
        <v>69</v>
      </c>
      <c r="J19" s="19" t="s">
        <v>68</v>
      </c>
      <c r="K19" s="10" t="n">
        <f aca="false">IF(H19="Sí",G19,0)</f>
        <v>0</v>
      </c>
      <c r="L19" s="10" t="n">
        <f aca="false">IF(I19="Sí",G19,0)</f>
        <v>0</v>
      </c>
      <c r="M19" s="10" t="n">
        <f aca="false">IF(J19="Sí",G19,0)</f>
        <v>3.9</v>
      </c>
      <c r="N19" s="20" t="s">
        <v>96</v>
      </c>
    </row>
    <row r="20" customFormat="false" ht="31.5" hidden="false" customHeight="true" outlineLevel="0" collapsed="false">
      <c r="A20" s="21" t="s">
        <v>34</v>
      </c>
      <c r="B20" s="7" t="s">
        <v>97</v>
      </c>
      <c r="C20" s="7" t="s">
        <v>98</v>
      </c>
      <c r="D20" s="7" t="s">
        <v>99</v>
      </c>
      <c r="E20" s="10" t="n">
        <v>75</v>
      </c>
      <c r="F20" s="18" t="n">
        <v>1</v>
      </c>
      <c r="G20" s="10" t="n">
        <f aca="false">E20*F20</f>
        <v>75</v>
      </c>
      <c r="H20" s="19" t="s">
        <v>68</v>
      </c>
      <c r="I20" s="19" t="s">
        <v>69</v>
      </c>
      <c r="J20" s="19" t="s">
        <v>69</v>
      </c>
      <c r="K20" s="10" t="n">
        <f aca="false">IF(H20="Sí",G20,0)</f>
        <v>75</v>
      </c>
      <c r="L20" s="10" t="n">
        <f aca="false">IF(I20="Sí",G20,0)</f>
        <v>0</v>
      </c>
      <c r="M20" s="10" t="n">
        <f aca="false">IF(J20="Sí",G20,0)</f>
        <v>0</v>
      </c>
      <c r="N20" s="20" t="s">
        <v>100</v>
      </c>
    </row>
    <row r="21" customFormat="false" ht="31.5" hidden="false" customHeight="true" outlineLevel="0" collapsed="false">
      <c r="A21" s="21" t="s">
        <v>34</v>
      </c>
      <c r="B21" s="7" t="s">
        <v>101</v>
      </c>
      <c r="C21" s="7" t="s">
        <v>102</v>
      </c>
      <c r="D21" s="7" t="s">
        <v>99</v>
      </c>
      <c r="E21" s="10" t="n">
        <v>250</v>
      </c>
      <c r="F21" s="18" t="n">
        <v>1</v>
      </c>
      <c r="G21" s="10" t="n">
        <f aca="false">E21*F21</f>
        <v>250</v>
      </c>
      <c r="H21" s="19" t="s">
        <v>69</v>
      </c>
      <c r="I21" s="19" t="s">
        <v>68</v>
      </c>
      <c r="J21" s="19" t="s">
        <v>69</v>
      </c>
      <c r="K21" s="10" t="n">
        <f aca="false">IF(H21="Sí",G21,0)</f>
        <v>0</v>
      </c>
      <c r="L21" s="10" t="n">
        <f aca="false">IF(I21="Sí",G21,0)</f>
        <v>250</v>
      </c>
      <c r="M21" s="10" t="n">
        <f aca="false">IF(J21="Sí",G21,0)</f>
        <v>0</v>
      </c>
      <c r="N21" s="20" t="s">
        <v>103</v>
      </c>
    </row>
    <row r="22" customFormat="false" ht="31.5" hidden="false" customHeight="true" outlineLevel="0" collapsed="false">
      <c r="A22" s="21" t="s">
        <v>34</v>
      </c>
      <c r="B22" s="7" t="s">
        <v>104</v>
      </c>
      <c r="C22" s="7" t="s">
        <v>105</v>
      </c>
      <c r="D22" s="7" t="s">
        <v>99</v>
      </c>
      <c r="E22" s="10" t="n">
        <v>1000</v>
      </c>
      <c r="F22" s="18" t="n">
        <v>1</v>
      </c>
      <c r="G22" s="10" t="n">
        <f aca="false">E22*F22</f>
        <v>1000</v>
      </c>
      <c r="H22" s="19" t="s">
        <v>69</v>
      </c>
      <c r="I22" s="19" t="s">
        <v>69</v>
      </c>
      <c r="J22" s="19" t="s">
        <v>68</v>
      </c>
      <c r="K22" s="10" t="n">
        <f aca="false">IF(H22="Sí",G22,0)</f>
        <v>0</v>
      </c>
      <c r="L22" s="10" t="n">
        <f aca="false">IF(I22="Sí",G22,0)</f>
        <v>0</v>
      </c>
      <c r="M22" s="10" t="n">
        <f aca="false">IF(J22="Sí",G22,0)</f>
        <v>1000</v>
      </c>
      <c r="N22" s="20" t="s">
        <v>106</v>
      </c>
    </row>
    <row r="23" customFormat="false" ht="31.5" hidden="false" customHeight="true" outlineLevel="0" collapsed="false">
      <c r="A23" s="21" t="s">
        <v>35</v>
      </c>
      <c r="B23" s="7" t="s">
        <v>107</v>
      </c>
      <c r="C23" s="7" t="s">
        <v>108</v>
      </c>
      <c r="D23" s="7" t="s">
        <v>109</v>
      </c>
      <c r="E23" s="10" t="n">
        <v>1.5</v>
      </c>
      <c r="F23" s="18" t="n">
        <v>0.1</v>
      </c>
      <c r="G23" s="10" t="n">
        <f aca="false">E23*F23</f>
        <v>0.15</v>
      </c>
      <c r="H23" s="19" t="s">
        <v>68</v>
      </c>
      <c r="I23" s="19" t="s">
        <v>68</v>
      </c>
      <c r="J23" s="19" t="s">
        <v>68</v>
      </c>
      <c r="K23" s="10" t="n">
        <f aca="false">IF(H23="Sí",G23,0)</f>
        <v>0.15</v>
      </c>
      <c r="L23" s="10" t="n">
        <f aca="false">IF(I23="Sí",G23,0)</f>
        <v>0.15</v>
      </c>
      <c r="M23" s="10" t="n">
        <f aca="false">IF(J23="Sí",G23,0)</f>
        <v>0.15</v>
      </c>
      <c r="N23" s="20" t="s">
        <v>110</v>
      </c>
    </row>
    <row r="24" customFormat="false" ht="31.5" hidden="false" customHeight="true" outlineLevel="0" collapsed="false">
      <c r="A24" s="21" t="s">
        <v>35</v>
      </c>
      <c r="B24" s="7" t="s">
        <v>111</v>
      </c>
      <c r="C24" s="7" t="s">
        <v>112</v>
      </c>
      <c r="D24" s="7" t="s">
        <v>113</v>
      </c>
      <c r="E24" s="10" t="n">
        <v>1</v>
      </c>
      <c r="F24" s="18" t="n">
        <v>5</v>
      </c>
      <c r="G24" s="10" t="n">
        <f aca="false">E24*F24</f>
        <v>5</v>
      </c>
      <c r="H24" s="19" t="s">
        <v>68</v>
      </c>
      <c r="I24" s="19" t="s">
        <v>69</v>
      </c>
      <c r="J24" s="19" t="s">
        <v>69</v>
      </c>
      <c r="K24" s="10" t="n">
        <f aca="false">IF(H24="Sí",G24,0)</f>
        <v>5</v>
      </c>
      <c r="L24" s="10" t="n">
        <f aca="false">IF(I24="Sí",G24,0)</f>
        <v>0</v>
      </c>
      <c r="M24" s="10" t="n">
        <f aca="false">IF(J24="Sí",G24,0)</f>
        <v>0</v>
      </c>
      <c r="N24" s="20" t="s">
        <v>114</v>
      </c>
    </row>
    <row r="25" customFormat="false" ht="31.5" hidden="false" customHeight="true" outlineLevel="0" collapsed="false">
      <c r="A25" s="21" t="s">
        <v>35</v>
      </c>
      <c r="B25" s="7" t="s">
        <v>115</v>
      </c>
      <c r="C25" s="7" t="s">
        <v>112</v>
      </c>
      <c r="D25" s="7" t="s">
        <v>113</v>
      </c>
      <c r="E25" s="10" t="n">
        <v>1</v>
      </c>
      <c r="F25" s="18" t="n">
        <v>50</v>
      </c>
      <c r="G25" s="10" t="n">
        <f aca="false">E25*F25</f>
        <v>50</v>
      </c>
      <c r="H25" s="19" t="s">
        <v>69</v>
      </c>
      <c r="I25" s="19" t="s">
        <v>68</v>
      </c>
      <c r="J25" s="19" t="s">
        <v>69</v>
      </c>
      <c r="K25" s="10" t="n">
        <f aca="false">IF(H25="Sí",G25,0)</f>
        <v>0</v>
      </c>
      <c r="L25" s="10" t="n">
        <f aca="false">IF(I25="Sí",G25,0)</f>
        <v>50</v>
      </c>
      <c r="M25" s="10" t="n">
        <f aca="false">IF(J25="Sí",G25,0)</f>
        <v>0</v>
      </c>
      <c r="N25" s="20" t="s">
        <v>116</v>
      </c>
    </row>
    <row r="26" customFormat="false" ht="31.5" hidden="false" customHeight="true" outlineLevel="0" collapsed="false">
      <c r="A26" s="21" t="s">
        <v>35</v>
      </c>
      <c r="B26" s="7" t="s">
        <v>117</v>
      </c>
      <c r="C26" s="7" t="s">
        <v>112</v>
      </c>
      <c r="D26" s="7" t="s">
        <v>113</v>
      </c>
      <c r="E26" s="10" t="n">
        <v>1</v>
      </c>
      <c r="F26" s="18" t="n">
        <v>500</v>
      </c>
      <c r="G26" s="10" t="n">
        <f aca="false">E26*F26</f>
        <v>500</v>
      </c>
      <c r="H26" s="19" t="s">
        <v>69</v>
      </c>
      <c r="I26" s="19" t="s">
        <v>69</v>
      </c>
      <c r="J26" s="19" t="s">
        <v>68</v>
      </c>
      <c r="K26" s="10" t="n">
        <f aca="false">IF(H26="Sí",G26,0)</f>
        <v>0</v>
      </c>
      <c r="L26" s="10" t="n">
        <f aca="false">IF(I26="Sí",G26,0)</f>
        <v>0</v>
      </c>
      <c r="M26" s="10" t="n">
        <f aca="false">IF(J26="Sí",G26,0)</f>
        <v>500</v>
      </c>
      <c r="N26" s="20" t="s">
        <v>118</v>
      </c>
    </row>
    <row r="27" customFormat="false" ht="31.5" hidden="false" customHeight="true" outlineLevel="0" collapsed="false">
      <c r="A27" s="21" t="s">
        <v>36</v>
      </c>
      <c r="B27" s="7" t="s">
        <v>119</v>
      </c>
      <c r="C27" s="7" t="s">
        <v>120</v>
      </c>
      <c r="D27" s="7" t="s">
        <v>121</v>
      </c>
      <c r="E27" s="10" t="n">
        <v>0.02</v>
      </c>
      <c r="F27" s="18" t="n">
        <v>100</v>
      </c>
      <c r="G27" s="10" t="n">
        <f aca="false">E27*F27</f>
        <v>2</v>
      </c>
      <c r="H27" s="19" t="s">
        <v>68</v>
      </c>
      <c r="I27" s="19" t="s">
        <v>68</v>
      </c>
      <c r="J27" s="19" t="s">
        <v>68</v>
      </c>
      <c r="K27" s="10" t="n">
        <f aca="false">IF(H27="Sí",G27,0)</f>
        <v>2</v>
      </c>
      <c r="L27" s="10" t="n">
        <f aca="false">IF(I27="Sí",G27,0)</f>
        <v>2</v>
      </c>
      <c r="M27" s="10" t="n">
        <f aca="false">IF(J27="Sí",G27,0)</f>
        <v>2</v>
      </c>
      <c r="N27" s="20" t="s">
        <v>122</v>
      </c>
    </row>
    <row r="28" customFormat="false" ht="31.5" hidden="false" customHeight="true" outlineLevel="0" collapsed="false">
      <c r="A28" s="21" t="s">
        <v>36</v>
      </c>
      <c r="B28" s="7" t="s">
        <v>123</v>
      </c>
      <c r="C28" s="7" t="s">
        <v>120</v>
      </c>
      <c r="D28" s="7" t="s">
        <v>121</v>
      </c>
      <c r="E28" s="10" t="n">
        <v>0.018</v>
      </c>
      <c r="F28" s="18" t="n">
        <v>50</v>
      </c>
      <c r="G28" s="10" t="n">
        <f aca="false">E28*F28</f>
        <v>0.9</v>
      </c>
      <c r="H28" s="19" t="s">
        <v>68</v>
      </c>
      <c r="I28" s="19" t="s">
        <v>68</v>
      </c>
      <c r="J28" s="19" t="s">
        <v>68</v>
      </c>
      <c r="K28" s="10" t="n">
        <f aca="false">IF(H28="Sí",G28,0)</f>
        <v>0.9</v>
      </c>
      <c r="L28" s="10" t="n">
        <f aca="false">IF(I28="Sí",G28,0)</f>
        <v>0.9</v>
      </c>
      <c r="M28" s="10" t="n">
        <f aca="false">IF(J28="Sí",G28,0)</f>
        <v>0.9</v>
      </c>
      <c r="N28" s="20" t="s">
        <v>124</v>
      </c>
    </row>
    <row r="29" customFormat="false" ht="31.5" hidden="false" customHeight="true" outlineLevel="0" collapsed="false">
      <c r="A29" s="21" t="s">
        <v>36</v>
      </c>
      <c r="B29" s="7" t="s">
        <v>125</v>
      </c>
      <c r="C29" s="7" t="s">
        <v>126</v>
      </c>
      <c r="D29" s="7" t="s">
        <v>99</v>
      </c>
      <c r="E29" s="10" t="n">
        <v>50</v>
      </c>
      <c r="F29" s="18" t="n">
        <v>1</v>
      </c>
      <c r="G29" s="10" t="n">
        <f aca="false">E29*F29</f>
        <v>50</v>
      </c>
      <c r="H29" s="19" t="s">
        <v>68</v>
      </c>
      <c r="I29" s="19" t="s">
        <v>68</v>
      </c>
      <c r="J29" s="19" t="s">
        <v>68</v>
      </c>
      <c r="K29" s="10" t="n">
        <f aca="false">IF(H29="Sí",G29,0)</f>
        <v>50</v>
      </c>
      <c r="L29" s="10" t="n">
        <f aca="false">IF(I29="Sí",G29,0)</f>
        <v>50</v>
      </c>
      <c r="M29" s="10" t="n">
        <f aca="false">IF(J29="Sí",G29,0)</f>
        <v>50</v>
      </c>
      <c r="N29" s="20" t="s">
        <v>127</v>
      </c>
    </row>
    <row r="30" customFormat="false" ht="31.5" hidden="false" customHeight="true" outlineLevel="0" collapsed="false">
      <c r="A30" s="21" t="s">
        <v>37</v>
      </c>
      <c r="B30" s="7" t="s">
        <v>128</v>
      </c>
      <c r="C30" s="7" t="s">
        <v>129</v>
      </c>
      <c r="D30" s="7" t="s">
        <v>130</v>
      </c>
      <c r="E30" s="10" t="n">
        <v>10</v>
      </c>
      <c r="F30" s="18" t="n">
        <v>1</v>
      </c>
      <c r="G30" s="10" t="n">
        <f aca="false">E30*F30</f>
        <v>10</v>
      </c>
      <c r="H30" s="19" t="s">
        <v>68</v>
      </c>
      <c r="I30" s="19" t="s">
        <v>68</v>
      </c>
      <c r="J30" s="19" t="s">
        <v>69</v>
      </c>
      <c r="K30" s="10" t="n">
        <f aca="false">IF(H30="Sí",G30,0)</f>
        <v>10</v>
      </c>
      <c r="L30" s="10" t="n">
        <f aca="false">IF(I30="Sí",G30,0)</f>
        <v>10</v>
      </c>
      <c r="M30" s="10" t="n">
        <f aca="false">IF(J30="Sí",G30,0)</f>
        <v>0</v>
      </c>
      <c r="N30" s="20" t="s">
        <v>131</v>
      </c>
    </row>
    <row r="31" customFormat="false" ht="31.5" hidden="false" customHeight="true" outlineLevel="0" collapsed="false">
      <c r="A31" s="21" t="s">
        <v>37</v>
      </c>
      <c r="B31" s="7" t="s">
        <v>132</v>
      </c>
      <c r="C31" s="7" t="s">
        <v>133</v>
      </c>
      <c r="D31" s="7" t="s">
        <v>130</v>
      </c>
      <c r="E31" s="10" t="n">
        <v>100</v>
      </c>
      <c r="F31" s="18" t="n">
        <v>1</v>
      </c>
      <c r="G31" s="10" t="n">
        <f aca="false">E31*F31</f>
        <v>100</v>
      </c>
      <c r="H31" s="19" t="s">
        <v>69</v>
      </c>
      <c r="I31" s="19" t="s">
        <v>68</v>
      </c>
      <c r="J31" s="19" t="s">
        <v>68</v>
      </c>
      <c r="K31" s="10" t="n">
        <f aca="false">IF(H31="Sí",G31,0)</f>
        <v>0</v>
      </c>
      <c r="L31" s="10" t="n">
        <f aca="false">IF(I31="Sí",G31,0)</f>
        <v>100</v>
      </c>
      <c r="M31" s="10" t="n">
        <f aca="false">IF(J31="Sí",G31,0)</f>
        <v>100</v>
      </c>
      <c r="N31" s="20" t="s">
        <v>134</v>
      </c>
    </row>
    <row r="32" customFormat="false" ht="31.5" hidden="false" customHeight="true" outlineLevel="0" collapsed="false">
      <c r="A32" s="21" t="s">
        <v>37</v>
      </c>
      <c r="B32" s="7" t="s">
        <v>135</v>
      </c>
      <c r="C32" s="7" t="s">
        <v>136</v>
      </c>
      <c r="D32" s="7" t="s">
        <v>130</v>
      </c>
      <c r="E32" s="10" t="n">
        <v>55</v>
      </c>
      <c r="F32" s="18" t="n">
        <v>1</v>
      </c>
      <c r="G32" s="10" t="n">
        <f aca="false">E32*F32</f>
        <v>55</v>
      </c>
      <c r="H32" s="19" t="s">
        <v>68</v>
      </c>
      <c r="I32" s="19" t="s">
        <v>69</v>
      </c>
      <c r="J32" s="19" t="s">
        <v>69</v>
      </c>
      <c r="K32" s="10" t="n">
        <f aca="false">IF(H32="Sí",G32,0)</f>
        <v>55</v>
      </c>
      <c r="L32" s="10" t="n">
        <f aca="false">IF(I32="Sí",G32,0)</f>
        <v>0</v>
      </c>
      <c r="M32" s="10" t="n">
        <f aca="false">IF(J32="Sí",G32,0)</f>
        <v>0</v>
      </c>
      <c r="N32" s="20" t="s">
        <v>137</v>
      </c>
    </row>
    <row r="33" customFormat="false" ht="31.5" hidden="false" customHeight="true" outlineLevel="0" collapsed="false">
      <c r="A33" s="21" t="s">
        <v>37</v>
      </c>
      <c r="B33" s="7" t="s">
        <v>138</v>
      </c>
      <c r="C33" s="7" t="s">
        <v>102</v>
      </c>
      <c r="D33" s="7" t="s">
        <v>130</v>
      </c>
      <c r="E33" s="10" t="n">
        <v>70</v>
      </c>
      <c r="F33" s="18" t="n">
        <v>1</v>
      </c>
      <c r="G33" s="10" t="n">
        <f aca="false">E33*F33</f>
        <v>70</v>
      </c>
      <c r="H33" s="19" t="s">
        <v>69</v>
      </c>
      <c r="I33" s="19" t="s">
        <v>68</v>
      </c>
      <c r="J33" s="19" t="s">
        <v>69</v>
      </c>
      <c r="K33" s="10" t="n">
        <f aca="false">IF(H33="Sí",G33,0)</f>
        <v>0</v>
      </c>
      <c r="L33" s="10" t="n">
        <f aca="false">IF(I33="Sí",G33,0)</f>
        <v>70</v>
      </c>
      <c r="M33" s="10" t="n">
        <f aca="false">IF(J33="Sí",G33,0)</f>
        <v>0</v>
      </c>
      <c r="N33" s="20" t="s">
        <v>139</v>
      </c>
    </row>
    <row r="34" customFormat="false" ht="31.5" hidden="false" customHeight="true" outlineLevel="0" collapsed="false">
      <c r="A34" s="21" t="s">
        <v>37</v>
      </c>
      <c r="B34" s="7" t="s">
        <v>140</v>
      </c>
      <c r="C34" s="7" t="s">
        <v>141</v>
      </c>
      <c r="D34" s="7" t="s">
        <v>130</v>
      </c>
      <c r="E34" s="10" t="n">
        <v>150</v>
      </c>
      <c r="F34" s="18" t="n">
        <v>1</v>
      </c>
      <c r="G34" s="10" t="n">
        <f aca="false">E34*F34</f>
        <v>150</v>
      </c>
      <c r="H34" s="19" t="s">
        <v>69</v>
      </c>
      <c r="I34" s="19" t="s">
        <v>69</v>
      </c>
      <c r="J34" s="19" t="s">
        <v>68</v>
      </c>
      <c r="K34" s="10" t="n">
        <f aca="false">IF(H34="Sí",G34,0)</f>
        <v>0</v>
      </c>
      <c r="L34" s="10" t="n">
        <f aca="false">IF(I34="Sí",G34,0)</f>
        <v>0</v>
      </c>
      <c r="M34" s="10" t="n">
        <f aca="false">IF(J34="Sí",G34,0)</f>
        <v>150</v>
      </c>
      <c r="N34" s="20" t="s">
        <v>142</v>
      </c>
    </row>
    <row r="35" customFormat="false" ht="31.5" hidden="false" customHeight="true" outlineLevel="0" collapsed="false">
      <c r="A35" s="21" t="s">
        <v>37</v>
      </c>
      <c r="B35" s="7" t="s">
        <v>143</v>
      </c>
      <c r="C35" s="7" t="s">
        <v>144</v>
      </c>
      <c r="D35" s="7" t="s">
        <v>130</v>
      </c>
      <c r="E35" s="10" t="n">
        <v>30</v>
      </c>
      <c r="F35" s="18" t="n">
        <v>1</v>
      </c>
      <c r="G35" s="10" t="n">
        <f aca="false">E35*F35</f>
        <v>30</v>
      </c>
      <c r="H35" s="19" t="s">
        <v>68</v>
      </c>
      <c r="I35" s="19" t="s">
        <v>68</v>
      </c>
      <c r="J35" s="19" t="s">
        <v>68</v>
      </c>
      <c r="K35" s="10" t="n">
        <f aca="false">IF(H35="Sí",G35,0)</f>
        <v>30</v>
      </c>
      <c r="L35" s="10" t="n">
        <f aca="false">IF(I35="Sí",G35,0)</f>
        <v>30</v>
      </c>
      <c r="M35" s="10" t="n">
        <f aca="false">IF(J35="Sí",G35,0)</f>
        <v>30</v>
      </c>
      <c r="N35" s="20" t="s">
        <v>145</v>
      </c>
    </row>
    <row r="36" customFormat="false" ht="31.5" hidden="false" customHeight="true" outlineLevel="0" collapsed="false">
      <c r="A36" s="21" t="s">
        <v>38</v>
      </c>
      <c r="B36" s="7" t="s">
        <v>146</v>
      </c>
      <c r="C36" s="7" t="s">
        <v>147</v>
      </c>
      <c r="D36" s="7" t="s">
        <v>130</v>
      </c>
      <c r="E36" s="10" t="n">
        <v>0</v>
      </c>
      <c r="F36" s="18" t="n">
        <v>1</v>
      </c>
      <c r="G36" s="10" t="n">
        <f aca="false">E36*F36</f>
        <v>0</v>
      </c>
      <c r="H36" s="19" t="s">
        <v>68</v>
      </c>
      <c r="I36" s="19" t="s">
        <v>68</v>
      </c>
      <c r="J36" s="19" t="s">
        <v>68</v>
      </c>
      <c r="K36" s="10" t="n">
        <f aca="false">IF(H36="Sí",G36,0)</f>
        <v>0</v>
      </c>
      <c r="L36" s="10" t="n">
        <f aca="false">IF(I36="Sí",G36,0)</f>
        <v>0</v>
      </c>
      <c r="M36" s="10" t="n">
        <f aca="false">IF(J36="Sí",G36,0)</f>
        <v>0</v>
      </c>
      <c r="N36" s="20" t="s">
        <v>148</v>
      </c>
    </row>
    <row r="37" customFormat="false" ht="31.5" hidden="false" customHeight="true" outlineLevel="0" collapsed="false">
      <c r="A37" s="21" t="s">
        <v>38</v>
      </c>
      <c r="B37" s="7" t="s">
        <v>149</v>
      </c>
      <c r="C37" s="7" t="s">
        <v>150</v>
      </c>
      <c r="D37" s="7" t="s">
        <v>130</v>
      </c>
      <c r="E37" s="10" t="n">
        <v>0</v>
      </c>
      <c r="F37" s="18" t="n">
        <v>1</v>
      </c>
      <c r="G37" s="10" t="n">
        <f aca="false">E37*F37</f>
        <v>0</v>
      </c>
      <c r="H37" s="19" t="s">
        <v>68</v>
      </c>
      <c r="I37" s="19" t="s">
        <v>68</v>
      </c>
      <c r="J37" s="19" t="s">
        <v>68</v>
      </c>
      <c r="K37" s="10" t="n">
        <f aca="false">IF(H37="Sí",G37,0)</f>
        <v>0</v>
      </c>
      <c r="L37" s="10" t="n">
        <f aca="false">IF(I37="Sí",G37,0)</f>
        <v>0</v>
      </c>
      <c r="M37" s="10" t="n">
        <f aca="false">IF(J37="Sí",G37,0)</f>
        <v>0</v>
      </c>
      <c r="N37" s="20" t="s">
        <v>151</v>
      </c>
    </row>
    <row r="38" customFormat="false" ht="31.5" hidden="false" customHeight="true" outlineLevel="0" collapsed="false">
      <c r="A38" s="21" t="s">
        <v>38</v>
      </c>
      <c r="B38" s="7" t="s">
        <v>152</v>
      </c>
      <c r="C38" s="7" t="s">
        <v>153</v>
      </c>
      <c r="D38" s="7" t="s">
        <v>130</v>
      </c>
      <c r="E38" s="10" t="n">
        <v>138.7</v>
      </c>
      <c r="F38" s="18" t="n">
        <v>1</v>
      </c>
      <c r="G38" s="10" t="n">
        <f aca="false">E38*F38</f>
        <v>138.7</v>
      </c>
      <c r="H38" s="19" t="s">
        <v>69</v>
      </c>
      <c r="I38" s="19" t="s">
        <v>68</v>
      </c>
      <c r="J38" s="19" t="s">
        <v>69</v>
      </c>
      <c r="K38" s="10" t="n">
        <f aca="false">IF(H38="Sí",G38,0)</f>
        <v>0</v>
      </c>
      <c r="L38" s="10" t="n">
        <f aca="false">IF(I38="Sí",G38,0)</f>
        <v>138.7</v>
      </c>
      <c r="M38" s="10" t="n">
        <f aca="false">IF(J38="Sí",G38,0)</f>
        <v>0</v>
      </c>
      <c r="N38" s="20" t="s">
        <v>154</v>
      </c>
    </row>
    <row r="39" customFormat="false" ht="31.5" hidden="false" customHeight="true" outlineLevel="0" collapsed="false">
      <c r="A39" s="21" t="s">
        <v>38</v>
      </c>
      <c r="B39" s="7" t="s">
        <v>155</v>
      </c>
      <c r="C39" s="7" t="s">
        <v>156</v>
      </c>
      <c r="D39" s="7" t="s">
        <v>130</v>
      </c>
      <c r="E39" s="10" t="n">
        <v>357.7</v>
      </c>
      <c r="F39" s="18" t="n">
        <v>1</v>
      </c>
      <c r="G39" s="10" t="n">
        <f aca="false">E39*F39</f>
        <v>357.7</v>
      </c>
      <c r="H39" s="19" t="s">
        <v>69</v>
      </c>
      <c r="I39" s="19" t="s">
        <v>69</v>
      </c>
      <c r="J39" s="19" t="s">
        <v>68</v>
      </c>
      <c r="K39" s="10" t="n">
        <f aca="false">IF(H39="Sí",G39,0)</f>
        <v>0</v>
      </c>
      <c r="L39" s="10" t="n">
        <f aca="false">IF(I39="Sí",G39,0)</f>
        <v>0</v>
      </c>
      <c r="M39" s="10" t="n">
        <f aca="false">IF(J39="Sí",G39,0)</f>
        <v>357.7</v>
      </c>
      <c r="N39" s="20" t="s">
        <v>157</v>
      </c>
    </row>
    <row r="40" customFormat="false" ht="31.5" hidden="false" customHeight="true" outlineLevel="0" collapsed="false">
      <c r="A40" s="21" t="s">
        <v>38</v>
      </c>
      <c r="B40" s="7" t="s">
        <v>158</v>
      </c>
      <c r="C40" s="7" t="s">
        <v>159</v>
      </c>
      <c r="D40" s="7" t="s">
        <v>160</v>
      </c>
      <c r="E40" s="10" t="n">
        <v>7.3</v>
      </c>
      <c r="F40" s="18" t="n">
        <v>5</v>
      </c>
      <c r="G40" s="10" t="n">
        <f aca="false">E40*F40</f>
        <v>36.5</v>
      </c>
      <c r="H40" s="19" t="s">
        <v>69</v>
      </c>
      <c r="I40" s="19" t="s">
        <v>68</v>
      </c>
      <c r="J40" s="19" t="s">
        <v>68</v>
      </c>
      <c r="K40" s="10" t="n">
        <f aca="false">IF(H40="Sí",G40,0)</f>
        <v>0</v>
      </c>
      <c r="L40" s="10" t="n">
        <f aca="false">IF(I40="Sí",G40,0)</f>
        <v>36.5</v>
      </c>
      <c r="M40" s="10" t="n">
        <f aca="false">IF(J40="Sí",G40,0)</f>
        <v>36.5</v>
      </c>
      <c r="N40" s="20" t="s">
        <v>161</v>
      </c>
    </row>
    <row r="41" customFormat="false" ht="31.5" hidden="false" customHeight="true" outlineLevel="0" collapsed="false">
      <c r="A41" s="21" t="s">
        <v>38</v>
      </c>
      <c r="B41" s="7" t="s">
        <v>162</v>
      </c>
      <c r="C41" s="7" t="s">
        <v>163</v>
      </c>
      <c r="D41" s="7" t="s">
        <v>130</v>
      </c>
      <c r="E41" s="10" t="n">
        <v>288</v>
      </c>
      <c r="F41" s="18" t="n">
        <v>1</v>
      </c>
      <c r="G41" s="10" t="n">
        <f aca="false">E41*F41</f>
        <v>288</v>
      </c>
      <c r="H41" s="19" t="s">
        <v>69</v>
      </c>
      <c r="I41" s="19" t="s">
        <v>68</v>
      </c>
      <c r="J41" s="19" t="s">
        <v>69</v>
      </c>
      <c r="K41" s="10" t="n">
        <f aca="false">IF(H41="Sí",G41,0)</f>
        <v>0</v>
      </c>
      <c r="L41" s="10" t="n">
        <f aca="false">IF(I41="Sí",G41,0)</f>
        <v>288</v>
      </c>
      <c r="M41" s="10" t="n">
        <f aca="false">IF(J41="Sí",G41,0)</f>
        <v>0</v>
      </c>
      <c r="N41" s="20" t="s">
        <v>164</v>
      </c>
    </row>
    <row r="42" customFormat="false" ht="31.5" hidden="false" customHeight="true" outlineLevel="0" collapsed="false">
      <c r="A42" s="21" t="s">
        <v>38</v>
      </c>
      <c r="B42" s="7" t="s">
        <v>165</v>
      </c>
      <c r="C42" s="7" t="s">
        <v>166</v>
      </c>
      <c r="D42" s="7" t="s">
        <v>130</v>
      </c>
      <c r="E42" s="10" t="n">
        <v>912</v>
      </c>
      <c r="F42" s="18" t="n">
        <v>1</v>
      </c>
      <c r="G42" s="10" t="n">
        <f aca="false">E42*F42</f>
        <v>912</v>
      </c>
      <c r="H42" s="19" t="s">
        <v>69</v>
      </c>
      <c r="I42" s="19" t="s">
        <v>69</v>
      </c>
      <c r="J42" s="19" t="s">
        <v>68</v>
      </c>
      <c r="K42" s="10" t="n">
        <f aca="false">IF(H42="Sí",G42,0)</f>
        <v>0</v>
      </c>
      <c r="L42" s="10" t="n">
        <f aca="false">IF(I42="Sí",G42,0)</f>
        <v>0</v>
      </c>
      <c r="M42" s="10" t="n">
        <f aca="false">IF(J42="Sí",G42,0)</f>
        <v>912</v>
      </c>
      <c r="N42" s="20" t="s">
        <v>167</v>
      </c>
    </row>
    <row r="43" customFormat="false" ht="31.5" hidden="false" customHeight="true" outlineLevel="0" collapsed="false">
      <c r="A43" s="21" t="s">
        <v>39</v>
      </c>
      <c r="B43" s="7" t="s">
        <v>168</v>
      </c>
      <c r="C43" s="7" t="s">
        <v>169</v>
      </c>
      <c r="D43" s="7" t="s">
        <v>130</v>
      </c>
      <c r="E43" s="10" t="n">
        <v>0</v>
      </c>
      <c r="F43" s="18" t="n">
        <v>1</v>
      </c>
      <c r="G43" s="10" t="n">
        <f aca="false">E43*F43</f>
        <v>0</v>
      </c>
      <c r="H43" s="19" t="s">
        <v>68</v>
      </c>
      <c r="I43" s="19" t="s">
        <v>69</v>
      </c>
      <c r="J43" s="19" t="s">
        <v>69</v>
      </c>
      <c r="K43" s="10" t="n">
        <f aca="false">IF(H43="Sí",G43,0)</f>
        <v>0</v>
      </c>
      <c r="L43" s="10" t="n">
        <f aca="false">IF(I43="Sí",G43,0)</f>
        <v>0</v>
      </c>
      <c r="M43" s="10" t="n">
        <f aca="false">IF(J43="Sí",G43,0)</f>
        <v>0</v>
      </c>
      <c r="N43" s="20" t="s">
        <v>170</v>
      </c>
    </row>
    <row r="44" customFormat="false" ht="31.5" hidden="false" customHeight="true" outlineLevel="0" collapsed="false">
      <c r="A44" s="21" t="s">
        <v>39</v>
      </c>
      <c r="B44" s="7" t="s">
        <v>171</v>
      </c>
      <c r="C44" s="7" t="s">
        <v>172</v>
      </c>
      <c r="D44" s="7" t="s">
        <v>173</v>
      </c>
      <c r="E44" s="10" t="n">
        <v>6</v>
      </c>
      <c r="F44" s="18" t="n">
        <v>25</v>
      </c>
      <c r="G44" s="10" t="n">
        <f aca="false">E44*F44</f>
        <v>150</v>
      </c>
      <c r="H44" s="19" t="s">
        <v>69</v>
      </c>
      <c r="I44" s="19" t="s">
        <v>68</v>
      </c>
      <c r="J44" s="19" t="s">
        <v>69</v>
      </c>
      <c r="K44" s="10" t="n">
        <f aca="false">IF(H44="Sí",G44,0)</f>
        <v>0</v>
      </c>
      <c r="L44" s="10" t="n">
        <f aca="false">IF(I44="Sí",G44,0)</f>
        <v>150</v>
      </c>
      <c r="M44" s="10" t="n">
        <f aca="false">IF(J44="Sí",G44,0)</f>
        <v>0</v>
      </c>
      <c r="N44" s="20" t="s">
        <v>174</v>
      </c>
    </row>
    <row r="45" customFormat="false" ht="31.5" hidden="false" customHeight="true" outlineLevel="0" collapsed="false">
      <c r="A45" s="21" t="s">
        <v>39</v>
      </c>
      <c r="B45" s="7" t="s">
        <v>175</v>
      </c>
      <c r="C45" s="7" t="s">
        <v>172</v>
      </c>
      <c r="D45" s="7" t="s">
        <v>173</v>
      </c>
      <c r="E45" s="10" t="n">
        <v>9</v>
      </c>
      <c r="F45" s="18" t="n">
        <v>25</v>
      </c>
      <c r="G45" s="10" t="n">
        <f aca="false">E45*F45</f>
        <v>225</v>
      </c>
      <c r="H45" s="19" t="s">
        <v>69</v>
      </c>
      <c r="I45" s="19" t="s">
        <v>69</v>
      </c>
      <c r="J45" s="19" t="s">
        <v>68</v>
      </c>
      <c r="K45" s="10" t="n">
        <f aca="false">IF(H45="Sí",G45,0)</f>
        <v>0</v>
      </c>
      <c r="L45" s="10" t="n">
        <f aca="false">IF(I45="Sí",G45,0)</f>
        <v>0</v>
      </c>
      <c r="M45" s="10" t="n">
        <f aca="false">IF(J45="Sí",G45,0)</f>
        <v>225</v>
      </c>
      <c r="N45" s="20" t="s">
        <v>176</v>
      </c>
    </row>
    <row r="46" customFormat="false" ht="31.5" hidden="false" customHeight="true" outlineLevel="0" collapsed="false">
      <c r="A46" s="21" t="s">
        <v>39</v>
      </c>
      <c r="B46" s="7" t="s">
        <v>177</v>
      </c>
      <c r="C46" s="7" t="s">
        <v>178</v>
      </c>
      <c r="D46" s="7" t="s">
        <v>130</v>
      </c>
      <c r="E46" s="10" t="n">
        <v>10</v>
      </c>
      <c r="F46" s="18" t="n">
        <v>1</v>
      </c>
      <c r="G46" s="10" t="n">
        <f aca="false">E46*F46</f>
        <v>10</v>
      </c>
      <c r="H46" s="19" t="s">
        <v>68</v>
      </c>
      <c r="I46" s="19" t="s">
        <v>68</v>
      </c>
      <c r="J46" s="19" t="s">
        <v>68</v>
      </c>
      <c r="K46" s="10" t="n">
        <f aca="false">IF(H46="Sí",G46,0)</f>
        <v>10</v>
      </c>
      <c r="L46" s="10" t="n">
        <f aca="false">IF(I46="Sí",G46,0)</f>
        <v>10</v>
      </c>
      <c r="M46" s="10" t="n">
        <f aca="false">IF(J46="Sí",G46,0)</f>
        <v>10</v>
      </c>
      <c r="N46" s="20" t="s">
        <v>179</v>
      </c>
    </row>
    <row r="47" customFormat="false" ht="31.5" hidden="false" customHeight="true" outlineLevel="0" collapsed="false">
      <c r="A47" s="21" t="s">
        <v>39</v>
      </c>
      <c r="B47" s="7" t="s">
        <v>180</v>
      </c>
      <c r="C47" s="7" t="s">
        <v>181</v>
      </c>
      <c r="D47" s="7" t="s">
        <v>182</v>
      </c>
      <c r="E47" s="10" t="n">
        <v>15</v>
      </c>
      <c r="F47" s="18" t="n">
        <v>1</v>
      </c>
      <c r="G47" s="10" t="n">
        <f aca="false">E47*F47</f>
        <v>15</v>
      </c>
      <c r="H47" s="19" t="s">
        <v>68</v>
      </c>
      <c r="I47" s="19" t="s">
        <v>68</v>
      </c>
      <c r="J47" s="19" t="s">
        <v>68</v>
      </c>
      <c r="K47" s="10" t="n">
        <f aca="false">IF(H47="Sí",G47,0)</f>
        <v>15</v>
      </c>
      <c r="L47" s="10" t="n">
        <f aca="false">IF(I47="Sí",G47,0)</f>
        <v>15</v>
      </c>
      <c r="M47" s="10" t="n">
        <f aca="false">IF(J47="Sí",G47,0)</f>
        <v>15</v>
      </c>
      <c r="N47" s="20" t="s">
        <v>183</v>
      </c>
    </row>
    <row r="48" customFormat="false" ht="31.5" hidden="false" customHeight="true" outlineLevel="0" collapsed="false">
      <c r="A48" s="21" t="s">
        <v>39</v>
      </c>
      <c r="B48" s="7" t="s">
        <v>184</v>
      </c>
      <c r="C48" s="7" t="s">
        <v>185</v>
      </c>
      <c r="D48" s="7" t="s">
        <v>186</v>
      </c>
      <c r="E48" s="10" t="n">
        <v>10</v>
      </c>
      <c r="F48" s="18" t="n">
        <v>1</v>
      </c>
      <c r="G48" s="10" t="n">
        <f aca="false">E48*F48</f>
        <v>10</v>
      </c>
      <c r="H48" s="19" t="s">
        <v>69</v>
      </c>
      <c r="I48" s="19" t="s">
        <v>68</v>
      </c>
      <c r="J48" s="19" t="s">
        <v>68</v>
      </c>
      <c r="K48" s="10" t="n">
        <f aca="false">IF(H48="Sí",G48,0)</f>
        <v>0</v>
      </c>
      <c r="L48" s="10" t="n">
        <f aca="false">IF(I48="Sí",G48,0)</f>
        <v>10</v>
      </c>
      <c r="M48" s="10" t="n">
        <f aca="false">IF(J48="Sí",G48,0)</f>
        <v>10</v>
      </c>
      <c r="N48" s="20" t="s">
        <v>187</v>
      </c>
    </row>
    <row r="49" customFormat="false" ht="31.5" hidden="false" customHeight="true" outlineLevel="0" collapsed="false">
      <c r="A49" s="21" t="s">
        <v>39</v>
      </c>
      <c r="B49" s="7" t="s">
        <v>188</v>
      </c>
      <c r="C49" s="7" t="s">
        <v>189</v>
      </c>
      <c r="D49" s="7" t="s">
        <v>182</v>
      </c>
      <c r="E49" s="10" t="n">
        <v>15</v>
      </c>
      <c r="F49" s="18" t="n">
        <v>2</v>
      </c>
      <c r="G49" s="10" t="n">
        <f aca="false">E49*F49</f>
        <v>30</v>
      </c>
      <c r="H49" s="19" t="s">
        <v>69</v>
      </c>
      <c r="I49" s="19" t="s">
        <v>68</v>
      </c>
      <c r="J49" s="19" t="s">
        <v>68</v>
      </c>
      <c r="K49" s="10" t="n">
        <f aca="false">IF(H49="Sí",G49,0)</f>
        <v>0</v>
      </c>
      <c r="L49" s="10" t="n">
        <f aca="false">IF(I49="Sí",G49,0)</f>
        <v>30</v>
      </c>
      <c r="M49" s="10" t="n">
        <f aca="false">IF(J49="Sí",G49,0)</f>
        <v>30</v>
      </c>
      <c r="N49" s="20" t="s">
        <v>190</v>
      </c>
    </row>
    <row r="50" customFormat="false" ht="31.5" hidden="false" customHeight="true" outlineLevel="0" collapsed="false">
      <c r="A50" s="21" t="s">
        <v>39</v>
      </c>
      <c r="B50" s="7" t="s">
        <v>191</v>
      </c>
      <c r="C50" s="7" t="s">
        <v>192</v>
      </c>
      <c r="D50" s="7" t="s">
        <v>130</v>
      </c>
      <c r="E50" s="10" t="n">
        <v>150</v>
      </c>
      <c r="F50" s="18" t="n">
        <v>1</v>
      </c>
      <c r="G50" s="10" t="n">
        <f aca="false">E50*F50</f>
        <v>150</v>
      </c>
      <c r="H50" s="19" t="s">
        <v>69</v>
      </c>
      <c r="I50" s="19" t="s">
        <v>69</v>
      </c>
      <c r="J50" s="19" t="s">
        <v>68</v>
      </c>
      <c r="K50" s="10" t="n">
        <f aca="false">IF(H50="Sí",G50,0)</f>
        <v>0</v>
      </c>
      <c r="L50" s="10" t="n">
        <f aca="false">IF(I50="Sí",G50,0)</f>
        <v>0</v>
      </c>
      <c r="M50" s="10" t="n">
        <f aca="false">IF(J50="Sí",G50,0)</f>
        <v>150</v>
      </c>
      <c r="N50" s="20" t="s">
        <v>193</v>
      </c>
    </row>
    <row r="51" customFormat="false" ht="31.5" hidden="false" customHeight="true" outlineLevel="0" collapsed="false">
      <c r="A51" s="21" t="s">
        <v>40</v>
      </c>
      <c r="B51" s="7" t="s">
        <v>194</v>
      </c>
      <c r="C51" s="7" t="s">
        <v>195</v>
      </c>
      <c r="D51" s="7" t="s">
        <v>130</v>
      </c>
      <c r="E51" s="10" t="n">
        <v>23</v>
      </c>
      <c r="F51" s="18" t="n">
        <v>1</v>
      </c>
      <c r="G51" s="10" t="n">
        <f aca="false">E51*F51</f>
        <v>23</v>
      </c>
      <c r="H51" s="19" t="s">
        <v>68</v>
      </c>
      <c r="I51" s="19" t="s">
        <v>68</v>
      </c>
      <c r="J51" s="19" t="s">
        <v>68</v>
      </c>
      <c r="K51" s="10" t="n">
        <f aca="false">IF(H51="Sí",G51,0)</f>
        <v>23</v>
      </c>
      <c r="L51" s="10" t="n">
        <f aca="false">IF(I51="Sí",G51,0)</f>
        <v>23</v>
      </c>
      <c r="M51" s="10" t="n">
        <f aca="false">IF(J51="Sí",G51,0)</f>
        <v>23</v>
      </c>
      <c r="N51" s="20" t="s">
        <v>196</v>
      </c>
    </row>
    <row r="52" customFormat="false" ht="31.5" hidden="false" customHeight="true" outlineLevel="0" collapsed="false">
      <c r="A52" s="21" t="s">
        <v>40</v>
      </c>
      <c r="B52" s="7" t="s">
        <v>197</v>
      </c>
      <c r="C52" s="7" t="s">
        <v>198</v>
      </c>
      <c r="D52" s="7" t="s">
        <v>130</v>
      </c>
      <c r="E52" s="10" t="n">
        <v>92</v>
      </c>
      <c r="F52" s="18" t="n">
        <v>1</v>
      </c>
      <c r="G52" s="10" t="n">
        <f aca="false">E52*F52</f>
        <v>92</v>
      </c>
      <c r="H52" s="19" t="s">
        <v>69</v>
      </c>
      <c r="I52" s="19" t="s">
        <v>69</v>
      </c>
      <c r="J52" s="19" t="s">
        <v>68</v>
      </c>
      <c r="K52" s="10" t="n">
        <f aca="false">IF(H52="Sí",G52,0)</f>
        <v>0</v>
      </c>
      <c r="L52" s="10" t="n">
        <f aca="false">IF(I52="Sí",G52,0)</f>
        <v>0</v>
      </c>
      <c r="M52" s="10" t="n">
        <f aca="false">IF(J52="Sí",G52,0)</f>
        <v>92</v>
      </c>
      <c r="N52" s="20" t="s">
        <v>167</v>
      </c>
    </row>
    <row r="53" customFormat="false" ht="31.5" hidden="false" customHeight="true" outlineLevel="0" collapsed="false">
      <c r="A53" s="21" t="s">
        <v>40</v>
      </c>
      <c r="B53" s="7" t="s">
        <v>199</v>
      </c>
      <c r="C53" s="7" t="s">
        <v>200</v>
      </c>
      <c r="D53" s="7" t="s">
        <v>130</v>
      </c>
      <c r="E53" s="10" t="n">
        <v>0</v>
      </c>
      <c r="F53" s="18" t="n">
        <v>1</v>
      </c>
      <c r="G53" s="10" t="n">
        <f aca="false">E53*F53</f>
        <v>0</v>
      </c>
      <c r="H53" s="19" t="s">
        <v>68</v>
      </c>
      <c r="I53" s="19" t="s">
        <v>68</v>
      </c>
      <c r="J53" s="19" t="s">
        <v>68</v>
      </c>
      <c r="K53" s="10" t="n">
        <f aca="false">IF(H53="Sí",G53,0)</f>
        <v>0</v>
      </c>
      <c r="L53" s="10" t="n">
        <f aca="false">IF(I53="Sí",G53,0)</f>
        <v>0</v>
      </c>
      <c r="M53" s="10" t="n">
        <f aca="false">IF(J53="Sí",G53,0)</f>
        <v>0</v>
      </c>
      <c r="N53" s="20" t="s">
        <v>201</v>
      </c>
    </row>
    <row r="54" customFormat="false" ht="31.5" hidden="false" customHeight="true" outlineLevel="0" collapsed="false">
      <c r="A54" s="21" t="s">
        <v>40</v>
      </c>
      <c r="B54" s="7" t="s">
        <v>202</v>
      </c>
      <c r="C54" s="7" t="s">
        <v>203</v>
      </c>
      <c r="D54" s="7" t="s">
        <v>130</v>
      </c>
      <c r="E54" s="10" t="n">
        <v>10</v>
      </c>
      <c r="F54" s="18" t="n">
        <v>1</v>
      </c>
      <c r="G54" s="10" t="n">
        <f aca="false">E54*F54</f>
        <v>10</v>
      </c>
      <c r="H54" s="19" t="s">
        <v>68</v>
      </c>
      <c r="I54" s="19" t="s">
        <v>68</v>
      </c>
      <c r="J54" s="19" t="s">
        <v>68</v>
      </c>
      <c r="K54" s="10" t="n">
        <f aca="false">IF(H54="Sí",G54,0)</f>
        <v>10</v>
      </c>
      <c r="L54" s="10" t="n">
        <f aca="false">IF(I54="Sí",G54,0)</f>
        <v>10</v>
      </c>
      <c r="M54" s="10" t="n">
        <f aca="false">IF(J54="Sí",G54,0)</f>
        <v>10</v>
      </c>
      <c r="N54" s="20" t="s">
        <v>204</v>
      </c>
    </row>
    <row r="55" customFormat="false" ht="31.5" hidden="false" customHeight="true" outlineLevel="0" collapsed="false">
      <c r="A55" s="21" t="s">
        <v>41</v>
      </c>
      <c r="B55" s="7" t="s">
        <v>205</v>
      </c>
      <c r="C55" s="7" t="s">
        <v>206</v>
      </c>
      <c r="D55" s="7" t="s">
        <v>130</v>
      </c>
      <c r="E55" s="10" t="n">
        <v>0</v>
      </c>
      <c r="F55" s="18" t="n">
        <v>1</v>
      </c>
      <c r="G55" s="10" t="n">
        <f aca="false">E55*F55</f>
        <v>0</v>
      </c>
      <c r="H55" s="19" t="s">
        <v>68</v>
      </c>
      <c r="I55" s="19" t="s">
        <v>68</v>
      </c>
      <c r="J55" s="19" t="s">
        <v>68</v>
      </c>
      <c r="K55" s="10" t="n">
        <f aca="false">IF(H55="Sí",G55,0)</f>
        <v>0</v>
      </c>
      <c r="L55" s="10" t="n">
        <f aca="false">IF(I55="Sí",G55,0)</f>
        <v>0</v>
      </c>
      <c r="M55" s="10" t="n">
        <f aca="false">IF(J55="Sí",G55,0)</f>
        <v>0</v>
      </c>
      <c r="N55" s="20" t="s">
        <v>151</v>
      </c>
    </row>
    <row r="56" customFormat="false" ht="31.5" hidden="false" customHeight="true" outlineLevel="0" collapsed="false">
      <c r="A56" s="21" t="s">
        <v>41</v>
      </c>
      <c r="B56" s="7" t="s">
        <v>207</v>
      </c>
      <c r="C56" s="7" t="s">
        <v>208</v>
      </c>
      <c r="D56" s="7" t="s">
        <v>130</v>
      </c>
      <c r="E56" s="10" t="n">
        <v>0</v>
      </c>
      <c r="F56" s="18" t="n">
        <v>1</v>
      </c>
      <c r="G56" s="10" t="n">
        <f aca="false">E56*F56</f>
        <v>0</v>
      </c>
      <c r="H56" s="19" t="s">
        <v>68</v>
      </c>
      <c r="I56" s="19" t="s">
        <v>68</v>
      </c>
      <c r="J56" s="19" t="s">
        <v>68</v>
      </c>
      <c r="K56" s="10" t="n">
        <f aca="false">IF(H56="Sí",G56,0)</f>
        <v>0</v>
      </c>
      <c r="L56" s="10" t="n">
        <f aca="false">IF(I56="Sí",G56,0)</f>
        <v>0</v>
      </c>
      <c r="M56" s="10" t="n">
        <f aca="false">IF(J56="Sí",G56,0)</f>
        <v>0</v>
      </c>
      <c r="N56" s="20" t="s">
        <v>151</v>
      </c>
    </row>
    <row r="57" customFormat="false" ht="31.5" hidden="false" customHeight="true" outlineLevel="0" collapsed="false">
      <c r="A57" s="21" t="s">
        <v>41</v>
      </c>
      <c r="B57" s="7" t="s">
        <v>209</v>
      </c>
      <c r="C57" s="7" t="s">
        <v>210</v>
      </c>
      <c r="D57" s="7" t="s">
        <v>130</v>
      </c>
      <c r="E57" s="10" t="n">
        <v>500</v>
      </c>
      <c r="F57" s="18" t="n">
        <v>1</v>
      </c>
      <c r="G57" s="10" t="n">
        <f aca="false">E57*F57</f>
        <v>500</v>
      </c>
      <c r="H57" s="19" t="s">
        <v>69</v>
      </c>
      <c r="I57" s="19" t="s">
        <v>68</v>
      </c>
      <c r="J57" s="19" t="s">
        <v>69</v>
      </c>
      <c r="K57" s="10" t="n">
        <f aca="false">IF(H57="Sí",G57,0)</f>
        <v>0</v>
      </c>
      <c r="L57" s="10" t="n">
        <f aca="false">IF(I57="Sí",G57,0)</f>
        <v>500</v>
      </c>
      <c r="M57" s="10" t="n">
        <f aca="false">IF(J57="Sí",G57,0)</f>
        <v>0</v>
      </c>
      <c r="N57" s="20" t="s">
        <v>211</v>
      </c>
    </row>
    <row r="58" customFormat="false" ht="31.5" hidden="false" customHeight="true" outlineLevel="0" collapsed="false">
      <c r="A58" s="21" t="s">
        <v>41</v>
      </c>
      <c r="B58" s="7" t="s">
        <v>212</v>
      </c>
      <c r="C58" s="7" t="s">
        <v>213</v>
      </c>
      <c r="D58" s="7" t="s">
        <v>130</v>
      </c>
      <c r="E58" s="10" t="n">
        <v>800</v>
      </c>
      <c r="F58" s="18" t="n">
        <v>1</v>
      </c>
      <c r="G58" s="10" t="n">
        <f aca="false">E58*F58</f>
        <v>800</v>
      </c>
      <c r="H58" s="19" t="s">
        <v>69</v>
      </c>
      <c r="I58" s="19" t="s">
        <v>69</v>
      </c>
      <c r="J58" s="19" t="s">
        <v>68</v>
      </c>
      <c r="K58" s="10" t="n">
        <f aca="false">IF(H58="Sí",G58,0)</f>
        <v>0</v>
      </c>
      <c r="L58" s="10" t="n">
        <f aca="false">IF(I58="Sí",G58,0)</f>
        <v>0</v>
      </c>
      <c r="M58" s="10" t="n">
        <f aca="false">IF(J58="Sí",G58,0)</f>
        <v>800</v>
      </c>
      <c r="N58" s="20" t="s">
        <v>214</v>
      </c>
    </row>
    <row r="59" customFormat="false" ht="31.5" hidden="false" customHeight="true" outlineLevel="0" collapsed="false">
      <c r="A59" s="21" t="s">
        <v>42</v>
      </c>
      <c r="B59" s="7" t="s">
        <v>215</v>
      </c>
      <c r="C59" s="7" t="s">
        <v>216</v>
      </c>
      <c r="D59" s="7" t="s">
        <v>130</v>
      </c>
      <c r="E59" s="10" t="n">
        <v>100</v>
      </c>
      <c r="F59" s="18" t="n">
        <v>1</v>
      </c>
      <c r="G59" s="10" t="n">
        <f aca="false">E59*F59</f>
        <v>100</v>
      </c>
      <c r="H59" s="19" t="s">
        <v>69</v>
      </c>
      <c r="I59" s="19" t="s">
        <v>68</v>
      </c>
      <c r="J59" s="19" t="s">
        <v>68</v>
      </c>
      <c r="K59" s="10" t="n">
        <f aca="false">IF(H59="Sí",G59,0)</f>
        <v>0</v>
      </c>
      <c r="L59" s="10" t="n">
        <f aca="false">IF(I59="Sí",G59,0)</f>
        <v>100</v>
      </c>
      <c r="M59" s="10" t="n">
        <f aca="false">IF(J59="Sí",G59,0)</f>
        <v>100</v>
      </c>
      <c r="N59" s="20" t="s">
        <v>217</v>
      </c>
    </row>
    <row r="60" customFormat="false" ht="25.5" hidden="false" customHeight="true" outlineLevel="0" collapsed="false">
      <c r="A60" s="12" t="s">
        <v>43</v>
      </c>
      <c r="B60" s="22"/>
      <c r="C60" s="22"/>
      <c r="D60" s="22"/>
      <c r="E60" s="22"/>
      <c r="F60" s="22"/>
      <c r="G60" s="23" t="n">
        <f aca="false">SUM(G5:G59)</f>
        <v>6468.715</v>
      </c>
      <c r="H60" s="22"/>
      <c r="I60" s="22"/>
      <c r="J60" s="22"/>
      <c r="K60" s="23" t="n">
        <f aca="false">SUM(K5:K59)</f>
        <v>289.265</v>
      </c>
      <c r="L60" s="23" t="n">
        <f aca="false">SUM(L5:L59)</f>
        <v>1921.4</v>
      </c>
      <c r="M60" s="23" t="n">
        <f aca="false">SUM(M5:M59)</f>
        <v>4826.65</v>
      </c>
      <c r="N60" s="22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5" t="s">
        <v>218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219</v>
      </c>
      <c r="B2" s="16"/>
      <c r="C2" s="16"/>
      <c r="D2" s="16"/>
      <c r="E2" s="16"/>
      <c r="F2" s="16"/>
    </row>
    <row r="4" customFormat="false" ht="15" hidden="false" customHeight="false" outlineLevel="0" collapsed="false">
      <c r="A4" s="2" t="s">
        <v>220</v>
      </c>
      <c r="B4" s="2"/>
      <c r="C4" s="2"/>
      <c r="D4" s="2"/>
      <c r="E4" s="2"/>
      <c r="F4" s="2"/>
    </row>
    <row r="6" customFormat="false" ht="15" hidden="false" customHeight="false" outlineLevel="0" collapsed="false">
      <c r="A6" s="5" t="s">
        <v>221</v>
      </c>
      <c r="B6" s="5" t="s">
        <v>222</v>
      </c>
      <c r="C6" s="5" t="s">
        <v>223</v>
      </c>
      <c r="D6" s="5" t="s">
        <v>224</v>
      </c>
      <c r="E6" s="5" t="s">
        <v>17</v>
      </c>
      <c r="F6" s="5" t="s">
        <v>225</v>
      </c>
    </row>
    <row r="7" customFormat="false" ht="15" hidden="false" customHeight="false" outlineLevel="0" collapsed="false">
      <c r="A7" s="24" t="s">
        <v>226</v>
      </c>
      <c r="B7" s="25" t="s">
        <v>227</v>
      </c>
      <c r="C7" s="25" t="s">
        <v>228</v>
      </c>
      <c r="D7" s="25" t="s">
        <v>229</v>
      </c>
      <c r="E7" s="7" t="s">
        <v>230</v>
      </c>
      <c r="F7" s="7" t="s">
        <v>231</v>
      </c>
    </row>
    <row r="8" customFormat="false" ht="15" hidden="false" customHeight="false" outlineLevel="0" collapsed="false">
      <c r="A8" s="17" t="s">
        <v>232</v>
      </c>
      <c r="B8" s="25" t="s">
        <v>233</v>
      </c>
      <c r="C8" s="25" t="s">
        <v>234</v>
      </c>
      <c r="D8" s="25" t="s">
        <v>235</v>
      </c>
      <c r="E8" s="7" t="s">
        <v>236</v>
      </c>
      <c r="F8" s="7" t="s">
        <v>237</v>
      </c>
    </row>
    <row r="9" customFormat="false" ht="15" hidden="false" customHeight="false" outlineLevel="0" collapsed="false">
      <c r="A9" s="17" t="s">
        <v>238</v>
      </c>
      <c r="B9" s="25" t="s">
        <v>239</v>
      </c>
      <c r="C9" s="25" t="s">
        <v>240</v>
      </c>
      <c r="D9" s="25" t="s">
        <v>235</v>
      </c>
      <c r="E9" s="7" t="s">
        <v>241</v>
      </c>
      <c r="F9" s="7" t="s">
        <v>242</v>
      </c>
    </row>
    <row r="10" customFormat="false" ht="15" hidden="false" customHeight="false" outlineLevel="0" collapsed="false">
      <c r="A10" s="24" t="s">
        <v>243</v>
      </c>
      <c r="B10" s="25" t="s">
        <v>244</v>
      </c>
      <c r="C10" s="25" t="s">
        <v>245</v>
      </c>
      <c r="D10" s="25" t="s">
        <v>246</v>
      </c>
      <c r="E10" s="7" t="s">
        <v>247</v>
      </c>
      <c r="F10" s="7" t="s">
        <v>248</v>
      </c>
    </row>
    <row r="11" customFormat="false" ht="15" hidden="false" customHeight="false" outlineLevel="0" collapsed="false">
      <c r="A11" s="24" t="s">
        <v>249</v>
      </c>
      <c r="B11" s="25" t="s">
        <v>250</v>
      </c>
      <c r="C11" s="25" t="s">
        <v>251</v>
      </c>
      <c r="D11" s="25" t="s">
        <v>235</v>
      </c>
      <c r="E11" s="7" t="s">
        <v>252</v>
      </c>
      <c r="F11" s="7" t="s">
        <v>253</v>
      </c>
    </row>
    <row r="12" customFormat="false" ht="15" hidden="false" customHeight="false" outlineLevel="0" collapsed="false">
      <c r="A12" s="24" t="s">
        <v>254</v>
      </c>
      <c r="B12" s="25" t="s">
        <v>255</v>
      </c>
      <c r="C12" s="25" t="s">
        <v>251</v>
      </c>
      <c r="D12" s="25" t="s">
        <v>235</v>
      </c>
      <c r="E12" s="7" t="s">
        <v>256</v>
      </c>
      <c r="F12" s="7" t="s">
        <v>257</v>
      </c>
    </row>
    <row r="13" customFormat="false" ht="15" hidden="false" customHeight="false" outlineLevel="0" collapsed="false">
      <c r="A13" s="24" t="s">
        <v>258</v>
      </c>
      <c r="B13" s="25" t="s">
        <v>259</v>
      </c>
      <c r="C13" s="25" t="s">
        <v>260</v>
      </c>
      <c r="D13" s="25" t="s">
        <v>261</v>
      </c>
      <c r="E13" s="7" t="s">
        <v>262</v>
      </c>
      <c r="F13" s="7" t="s">
        <v>263</v>
      </c>
    </row>
    <row r="14" customFormat="false" ht="15" hidden="false" customHeight="false" outlineLevel="0" collapsed="false">
      <c r="A14" s="24" t="s">
        <v>264</v>
      </c>
      <c r="B14" s="25" t="s">
        <v>265</v>
      </c>
      <c r="C14" s="25" t="s">
        <v>266</v>
      </c>
      <c r="D14" s="25" t="s">
        <v>267</v>
      </c>
      <c r="E14" s="7" t="s">
        <v>268</v>
      </c>
      <c r="F14" s="7" t="s">
        <v>269</v>
      </c>
    </row>
    <row r="15" customFormat="false" ht="15" hidden="false" customHeight="false" outlineLevel="0" collapsed="false">
      <c r="A15" s="24" t="s">
        <v>270</v>
      </c>
      <c r="B15" s="25" t="s">
        <v>271</v>
      </c>
      <c r="C15" s="25" t="s">
        <v>266</v>
      </c>
      <c r="D15" s="25" t="s">
        <v>267</v>
      </c>
      <c r="E15" s="7" t="s">
        <v>272</v>
      </c>
      <c r="F15" s="7" t="s">
        <v>273</v>
      </c>
    </row>
    <row r="18" customFormat="false" ht="15" hidden="false" customHeight="false" outlineLevel="0" collapsed="false">
      <c r="A18" s="2" t="s">
        <v>274</v>
      </c>
      <c r="B18" s="2"/>
      <c r="C18" s="2"/>
      <c r="D18" s="2"/>
      <c r="E18" s="2"/>
      <c r="F18" s="2"/>
    </row>
    <row r="20" customFormat="false" ht="15" hidden="false" customHeight="false" outlineLevel="0" collapsed="false">
      <c r="A20" s="5" t="s">
        <v>275</v>
      </c>
      <c r="B20" s="5" t="s">
        <v>276</v>
      </c>
      <c r="C20" s="5" t="s">
        <v>36</v>
      </c>
      <c r="D20" s="5" t="s">
        <v>277</v>
      </c>
      <c r="E20" s="5" t="s">
        <v>278</v>
      </c>
      <c r="F20" s="5" t="s">
        <v>225</v>
      </c>
    </row>
    <row r="21" customFormat="false" ht="15" hidden="false" customHeight="false" outlineLevel="0" collapsed="false">
      <c r="A21" s="26" t="s">
        <v>279</v>
      </c>
      <c r="B21" s="25" t="s">
        <v>280</v>
      </c>
      <c r="C21" s="25" t="s">
        <v>281</v>
      </c>
      <c r="D21" s="7" t="s">
        <v>282</v>
      </c>
      <c r="E21" s="7" t="s">
        <v>283</v>
      </c>
      <c r="F21" s="7" t="s">
        <v>284</v>
      </c>
    </row>
    <row r="22" customFormat="false" ht="15" hidden="false" customHeight="false" outlineLevel="0" collapsed="false">
      <c r="A22" s="27" t="s">
        <v>285</v>
      </c>
      <c r="B22" s="25" t="s">
        <v>286</v>
      </c>
      <c r="C22" s="25" t="s">
        <v>287</v>
      </c>
      <c r="D22" s="7" t="s">
        <v>288</v>
      </c>
      <c r="E22" s="7" t="s">
        <v>289</v>
      </c>
      <c r="F22" s="7" t="s">
        <v>290</v>
      </c>
    </row>
    <row r="23" customFormat="false" ht="15" hidden="false" customHeight="false" outlineLevel="0" collapsed="false">
      <c r="A23" s="27" t="s">
        <v>102</v>
      </c>
      <c r="B23" s="25" t="s">
        <v>291</v>
      </c>
      <c r="C23" s="25" t="s">
        <v>292</v>
      </c>
      <c r="D23" s="7" t="s">
        <v>293</v>
      </c>
      <c r="E23" s="7" t="s">
        <v>294</v>
      </c>
      <c r="F23" s="7" t="s">
        <v>295</v>
      </c>
    </row>
    <row r="24" customFormat="false" ht="15" hidden="false" customHeight="false" outlineLevel="0" collapsed="false">
      <c r="A24" s="26" t="s">
        <v>105</v>
      </c>
      <c r="B24" s="25" t="s">
        <v>296</v>
      </c>
      <c r="C24" s="25" t="s">
        <v>297</v>
      </c>
      <c r="D24" s="7" t="s">
        <v>293</v>
      </c>
      <c r="E24" s="7" t="s">
        <v>298</v>
      </c>
      <c r="F24" s="7" t="s">
        <v>299</v>
      </c>
    </row>
    <row r="25" customFormat="false" ht="15" hidden="false" customHeight="false" outlineLevel="0" collapsed="false">
      <c r="A25" s="26" t="s">
        <v>300</v>
      </c>
      <c r="B25" s="25" t="s">
        <v>301</v>
      </c>
      <c r="C25" s="25" t="s">
        <v>302</v>
      </c>
      <c r="D25" s="7" t="s">
        <v>293</v>
      </c>
      <c r="E25" s="7" t="s">
        <v>303</v>
      </c>
      <c r="F25" s="7" t="s">
        <v>304</v>
      </c>
    </row>
    <row r="28" customFormat="false" ht="15" hidden="false" customHeight="false" outlineLevel="0" collapsed="false">
      <c r="A28" s="2" t="s">
        <v>305</v>
      </c>
      <c r="B28" s="2"/>
      <c r="C28" s="2"/>
      <c r="D28" s="2"/>
      <c r="E28" s="2"/>
      <c r="F28" s="2"/>
    </row>
    <row r="30" customFormat="false" ht="15" hidden="false" customHeight="false" outlineLevel="0" collapsed="false">
      <c r="A30" s="5" t="s">
        <v>306</v>
      </c>
      <c r="B30" s="5" t="s">
        <v>307</v>
      </c>
      <c r="C30" s="5" t="s">
        <v>308</v>
      </c>
      <c r="D30" s="5" t="s">
        <v>309</v>
      </c>
      <c r="E30" s="5" t="s">
        <v>310</v>
      </c>
      <c r="F30" s="5" t="s">
        <v>18</v>
      </c>
    </row>
    <row r="31" customFormat="false" ht="15" hidden="false" customHeight="false" outlineLevel="0" collapsed="false">
      <c r="A31" s="6" t="s">
        <v>9</v>
      </c>
      <c r="B31" s="25" t="s">
        <v>311</v>
      </c>
      <c r="C31" s="25" t="s">
        <v>312</v>
      </c>
      <c r="D31" s="7" t="s">
        <v>313</v>
      </c>
      <c r="E31" s="7" t="s">
        <v>314</v>
      </c>
      <c r="F31" s="7" t="s">
        <v>315</v>
      </c>
    </row>
    <row r="32" customFormat="false" ht="15" hidden="false" customHeight="false" outlineLevel="0" collapsed="false">
      <c r="A32" s="24" t="s">
        <v>316</v>
      </c>
      <c r="B32" s="25" t="s">
        <v>317</v>
      </c>
      <c r="C32" s="25" t="s">
        <v>312</v>
      </c>
      <c r="D32" s="7" t="s">
        <v>318</v>
      </c>
      <c r="E32" s="7" t="s">
        <v>319</v>
      </c>
      <c r="F32" s="7" t="s">
        <v>320</v>
      </c>
    </row>
    <row r="33" customFormat="false" ht="15" hidden="false" customHeight="false" outlineLevel="0" collapsed="false">
      <c r="A33" s="24" t="s">
        <v>321</v>
      </c>
      <c r="B33" s="25" t="s">
        <v>317</v>
      </c>
      <c r="C33" s="25" t="s">
        <v>312</v>
      </c>
      <c r="D33" s="7" t="s">
        <v>322</v>
      </c>
      <c r="E33" s="7" t="s">
        <v>323</v>
      </c>
      <c r="F33" s="7" t="s">
        <v>324</v>
      </c>
    </row>
    <row r="34" customFormat="false" ht="15" hidden="false" customHeight="false" outlineLevel="0" collapsed="false">
      <c r="A34" s="24" t="s">
        <v>325</v>
      </c>
      <c r="B34" s="25" t="s">
        <v>326</v>
      </c>
      <c r="C34" s="25" t="s">
        <v>327</v>
      </c>
      <c r="D34" s="7" t="s">
        <v>328</v>
      </c>
      <c r="E34" s="7" t="s">
        <v>329</v>
      </c>
      <c r="F34" s="7" t="s">
        <v>330</v>
      </c>
    </row>
    <row r="35" customFormat="false" ht="15" hidden="false" customHeight="false" outlineLevel="0" collapsed="false">
      <c r="A35" s="24" t="s">
        <v>331</v>
      </c>
      <c r="B35" s="25" t="s">
        <v>332</v>
      </c>
      <c r="C35" s="25" t="s">
        <v>333</v>
      </c>
      <c r="D35" s="7" t="s">
        <v>328</v>
      </c>
      <c r="E35" s="7" t="s">
        <v>329</v>
      </c>
      <c r="F35" s="7" t="s">
        <v>334</v>
      </c>
    </row>
  </sheetData>
  <mergeCells count="5">
    <mergeCell ref="A1:F1"/>
    <mergeCell ref="A2:F2"/>
    <mergeCell ref="A4:F4"/>
    <mergeCell ref="A18:F18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20"/>
  </cols>
  <sheetData>
    <row r="1" customFormat="false" ht="27.75" hidden="false" customHeight="true" outlineLevel="0" collapsed="false">
      <c r="A1" s="15" t="s">
        <v>335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336</v>
      </c>
      <c r="B2" s="16"/>
      <c r="C2" s="16"/>
      <c r="D2" s="16"/>
      <c r="E2" s="16"/>
      <c r="F2" s="16"/>
    </row>
    <row r="4" customFormat="false" ht="15" hidden="false" customHeight="false" outlineLevel="0" collapsed="false">
      <c r="A4" s="2" t="s">
        <v>337</v>
      </c>
      <c r="B4" s="2"/>
      <c r="C4" s="2"/>
      <c r="D4" s="2"/>
      <c r="E4" s="2"/>
      <c r="F4" s="2"/>
    </row>
    <row r="6" customFormat="false" ht="15" hidden="false" customHeight="true" outlineLevel="0" collapsed="false">
      <c r="A6" s="28" t="s">
        <v>338</v>
      </c>
      <c r="B6" s="29" t="n">
        <v>50</v>
      </c>
      <c r="C6" s="14" t="s">
        <v>339</v>
      </c>
      <c r="D6" s="14"/>
      <c r="E6" s="14"/>
      <c r="F6" s="14"/>
    </row>
    <row r="7" customFormat="false" ht="15" hidden="false" customHeight="true" outlineLevel="0" collapsed="false">
      <c r="A7" s="28" t="s">
        <v>340</v>
      </c>
      <c r="B7" s="29" t="n">
        <v>22</v>
      </c>
      <c r="C7" s="14" t="s">
        <v>341</v>
      </c>
      <c r="D7" s="14"/>
      <c r="E7" s="14"/>
      <c r="F7" s="14"/>
    </row>
    <row r="8" customFormat="false" ht="15" hidden="false" customHeight="true" outlineLevel="0" collapsed="false">
      <c r="A8" s="28" t="s">
        <v>342</v>
      </c>
      <c r="B8" s="29" t="n">
        <v>3000</v>
      </c>
      <c r="C8" s="14" t="s">
        <v>343</v>
      </c>
      <c r="D8" s="14"/>
      <c r="E8" s="14"/>
      <c r="F8" s="14"/>
    </row>
    <row r="9" customFormat="false" ht="15" hidden="false" customHeight="true" outlineLevel="0" collapsed="false">
      <c r="A9" s="28" t="s">
        <v>344</v>
      </c>
      <c r="B9" s="29" t="n">
        <v>500</v>
      </c>
      <c r="C9" s="14" t="s">
        <v>345</v>
      </c>
      <c r="D9" s="14"/>
      <c r="E9" s="14"/>
      <c r="F9" s="14"/>
    </row>
    <row r="10" customFormat="false" ht="15" hidden="false" customHeight="true" outlineLevel="0" collapsed="false">
      <c r="A10" s="28" t="s">
        <v>346</v>
      </c>
      <c r="B10" s="30" t="n">
        <v>0.4</v>
      </c>
      <c r="C10" s="14" t="s">
        <v>347</v>
      </c>
      <c r="D10" s="14"/>
      <c r="E10" s="14"/>
      <c r="F10" s="14"/>
    </row>
    <row r="11" customFormat="false" ht="15" hidden="false" customHeight="true" outlineLevel="0" collapsed="false">
      <c r="A11" s="28" t="s">
        <v>348</v>
      </c>
      <c r="B11" s="29" t="n">
        <v>100</v>
      </c>
      <c r="C11" s="14" t="s">
        <v>349</v>
      </c>
      <c r="D11" s="14"/>
      <c r="E11" s="14"/>
      <c r="F11" s="14"/>
    </row>
    <row r="12" customFormat="false" ht="15" hidden="false" customHeight="true" outlineLevel="0" collapsed="false">
      <c r="A12" s="28" t="s">
        <v>350</v>
      </c>
      <c r="B12" s="29" t="n">
        <v>5000</v>
      </c>
      <c r="C12" s="14" t="s">
        <v>351</v>
      </c>
      <c r="D12" s="14"/>
      <c r="E12" s="14"/>
      <c r="F12" s="14"/>
    </row>
    <row r="15" customFormat="false" ht="15" hidden="false" customHeight="false" outlineLevel="0" collapsed="false">
      <c r="A15" s="2" t="s">
        <v>352</v>
      </c>
      <c r="B15" s="2"/>
      <c r="C15" s="2"/>
      <c r="D15" s="2"/>
      <c r="E15" s="2"/>
      <c r="F15" s="2"/>
    </row>
    <row r="17" customFormat="false" ht="15" hidden="false" customHeight="false" outlineLevel="0" collapsed="false">
      <c r="A17" s="28" t="s">
        <v>353</v>
      </c>
      <c r="B17" s="31" t="n">
        <f aca="false">B6*B7</f>
        <v>1100</v>
      </c>
    </row>
    <row r="18" customFormat="false" ht="15" hidden="false" customHeight="false" outlineLevel="0" collapsed="false">
      <c r="A18" s="28" t="s">
        <v>354</v>
      </c>
      <c r="B18" s="31" t="n">
        <f aca="false">B17*B8</f>
        <v>3300000</v>
      </c>
    </row>
    <row r="19" customFormat="false" ht="15" hidden="false" customHeight="false" outlineLevel="0" collapsed="false">
      <c r="A19" s="28" t="s">
        <v>355</v>
      </c>
      <c r="B19" s="31" t="n">
        <f aca="false">B17*B9</f>
        <v>550000</v>
      </c>
    </row>
    <row r="20" customFormat="false" ht="15" hidden="false" customHeight="false" outlineLevel="0" collapsed="false">
      <c r="A20" s="28" t="s">
        <v>356</v>
      </c>
      <c r="B20" s="32" t="n">
        <f aca="false">B18*B10/1000000</f>
        <v>1.32</v>
      </c>
    </row>
    <row r="21" customFormat="false" ht="15" hidden="false" customHeight="false" outlineLevel="0" collapsed="false">
      <c r="A21" s="28" t="s">
        <v>357</v>
      </c>
      <c r="B21" s="32" t="n">
        <f aca="false">B18*(1-B10)/1000000</f>
        <v>1.98</v>
      </c>
    </row>
    <row r="22" customFormat="false" ht="15" hidden="false" customHeight="false" outlineLevel="0" collapsed="false">
      <c r="A22" s="28" t="s">
        <v>358</v>
      </c>
      <c r="B22" s="32" t="n">
        <f aca="false">B19*B10/1000000</f>
        <v>0.22</v>
      </c>
    </row>
    <row r="23" customFormat="false" ht="15" hidden="false" customHeight="false" outlineLevel="0" collapsed="false">
      <c r="A23" s="28" t="s">
        <v>359</v>
      </c>
      <c r="B23" s="32" t="n">
        <f aca="false">B19*(1-B10)/1000000</f>
        <v>0.33</v>
      </c>
    </row>
    <row r="24" customFormat="false" ht="15" hidden="false" customHeight="false" outlineLevel="0" collapsed="false">
      <c r="A24" s="28" t="s">
        <v>360</v>
      </c>
      <c r="B24" s="32" t="n">
        <f aca="false">B11*B12/1000000</f>
        <v>0.5</v>
      </c>
    </row>
    <row r="27" customFormat="false" ht="15" hidden="false" customHeight="false" outlineLevel="0" collapsed="false">
      <c r="A27" s="2" t="s">
        <v>361</v>
      </c>
      <c r="B27" s="2"/>
      <c r="C27" s="2"/>
      <c r="D27" s="2"/>
      <c r="E27" s="2"/>
      <c r="F27" s="2"/>
    </row>
    <row r="29" customFormat="false" ht="15" hidden="false" customHeight="false" outlineLevel="0" collapsed="false">
      <c r="A29" s="5" t="s">
        <v>362</v>
      </c>
      <c r="B29" s="5" t="s">
        <v>363</v>
      </c>
      <c r="C29" s="5" t="s">
        <v>364</v>
      </c>
      <c r="D29" s="5" t="s">
        <v>365</v>
      </c>
    </row>
    <row r="30" customFormat="false" ht="15" hidden="false" customHeight="false" outlineLevel="0" collapsed="false">
      <c r="A30" s="7" t="s">
        <v>366</v>
      </c>
      <c r="B30" s="32" t="n">
        <f aca="false">B20</f>
        <v>1.32</v>
      </c>
      <c r="C30" s="10" t="n">
        <v>2.5</v>
      </c>
      <c r="D30" s="10" t="n">
        <f aca="false">B30*C30</f>
        <v>3.3</v>
      </c>
    </row>
    <row r="31" customFormat="false" ht="15" hidden="false" customHeight="false" outlineLevel="0" collapsed="false">
      <c r="A31" s="7" t="s">
        <v>367</v>
      </c>
      <c r="B31" s="32" t="n">
        <f aca="false">B22</f>
        <v>0.22</v>
      </c>
      <c r="C31" s="10" t="n">
        <v>10</v>
      </c>
      <c r="D31" s="10" t="n">
        <f aca="false">B31*C31</f>
        <v>2.2</v>
      </c>
    </row>
    <row r="32" customFormat="false" ht="15" hidden="false" customHeight="false" outlineLevel="0" collapsed="false">
      <c r="A32" s="7" t="s">
        <v>368</v>
      </c>
      <c r="B32" s="32" t="n">
        <f aca="false">B21</f>
        <v>1.98</v>
      </c>
      <c r="C32" s="10" t="n">
        <v>0.15</v>
      </c>
      <c r="D32" s="10" t="n">
        <f aca="false">B32*C32</f>
        <v>0.297</v>
      </c>
    </row>
    <row r="33" customFormat="false" ht="15" hidden="false" customHeight="false" outlineLevel="0" collapsed="false">
      <c r="A33" s="7" t="s">
        <v>369</v>
      </c>
      <c r="B33" s="32" t="n">
        <f aca="false">B23</f>
        <v>0.33</v>
      </c>
      <c r="C33" s="10" t="n">
        <v>0.6</v>
      </c>
      <c r="D33" s="10" t="n">
        <f aca="false">B33*C33</f>
        <v>0.198</v>
      </c>
    </row>
    <row r="34" customFormat="false" ht="15" hidden="false" customHeight="false" outlineLevel="0" collapsed="false">
      <c r="A34" s="7" t="s">
        <v>264</v>
      </c>
      <c r="B34" s="32" t="n">
        <f aca="false">B24</f>
        <v>0.5</v>
      </c>
      <c r="C34" s="10" t="n">
        <v>0.13</v>
      </c>
      <c r="D34" s="10" t="n">
        <f aca="false">B34*C34</f>
        <v>0.065</v>
      </c>
    </row>
    <row r="35" customFormat="false" ht="15" hidden="false" customHeight="false" outlineLevel="0" collapsed="false">
      <c r="A35" s="12" t="s">
        <v>370</v>
      </c>
      <c r="B35" s="22"/>
      <c r="C35" s="22"/>
      <c r="D35" s="23" t="n">
        <f aca="false">SUM(D30:D34)</f>
        <v>6.06</v>
      </c>
    </row>
    <row r="38" customFormat="false" ht="15" hidden="false" customHeight="false" outlineLevel="0" collapsed="false">
      <c r="A38" s="13" t="s">
        <v>64</v>
      </c>
    </row>
    <row r="39" customFormat="false" ht="15" hidden="false" customHeight="true" outlineLevel="0" collapsed="false">
      <c r="A39" s="14" t="s">
        <v>371</v>
      </c>
      <c r="B39" s="14"/>
      <c r="C39" s="14"/>
      <c r="D39" s="14"/>
      <c r="E39" s="14"/>
      <c r="F39" s="14"/>
    </row>
    <row r="40" customFormat="false" ht="15" hidden="false" customHeight="true" outlineLevel="0" collapsed="false">
      <c r="A40" s="14" t="s">
        <v>372</v>
      </c>
      <c r="B40" s="14"/>
      <c r="C40" s="14"/>
      <c r="D40" s="14"/>
      <c r="E40" s="14"/>
      <c r="F40" s="14"/>
    </row>
    <row r="41" customFormat="false" ht="15" hidden="false" customHeight="true" outlineLevel="0" collapsed="false">
      <c r="A41" s="14" t="s">
        <v>373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14" t="s">
        <v>374</v>
      </c>
      <c r="B42" s="14"/>
      <c r="C42" s="14"/>
      <c r="D42" s="14"/>
      <c r="E42" s="14"/>
      <c r="F42" s="14"/>
    </row>
    <row r="43" customFormat="false" ht="15" hidden="false" customHeight="true" outlineLevel="0" collapsed="false">
      <c r="A43" s="14" t="s">
        <v>375</v>
      </c>
      <c r="B43" s="14"/>
      <c r="C43" s="14"/>
      <c r="D43" s="14"/>
      <c r="E43" s="14"/>
      <c r="F43" s="14"/>
    </row>
  </sheetData>
  <mergeCells count="17">
    <mergeCell ref="A1:F1"/>
    <mergeCell ref="A2:F2"/>
    <mergeCell ref="A4:F4"/>
    <mergeCell ref="C6:F6"/>
    <mergeCell ref="C7:F7"/>
    <mergeCell ref="C8:F8"/>
    <mergeCell ref="C9:F9"/>
    <mergeCell ref="C10:F10"/>
    <mergeCell ref="C11:F11"/>
    <mergeCell ref="C12:F12"/>
    <mergeCell ref="A15:F15"/>
    <mergeCell ref="A27:F27"/>
    <mergeCell ref="A39:F39"/>
    <mergeCell ref="A40:F40"/>
    <mergeCell ref="A41:F41"/>
    <mergeCell ref="A42:F42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40"/>
  </cols>
  <sheetData>
    <row r="1" customFormat="false" ht="27.75" hidden="false" customHeight="true" outlineLevel="0" collapsed="false">
      <c r="A1" s="15" t="s">
        <v>376</v>
      </c>
      <c r="B1" s="15"/>
    </row>
    <row r="3" customFormat="false" ht="15" hidden="false" customHeight="false" outlineLevel="0" collapsed="false">
      <c r="A3" s="2" t="s">
        <v>377</v>
      </c>
      <c r="B3" s="2"/>
    </row>
    <row r="4" customFormat="false" ht="33.75" hidden="false" customHeight="true" outlineLevel="0" collapsed="false">
      <c r="A4" s="33" t="s">
        <v>378</v>
      </c>
      <c r="B4" s="33"/>
    </row>
    <row r="5" customFormat="false" ht="33.75" hidden="false" customHeight="true" outlineLevel="0" collapsed="false">
      <c r="A5" s="33" t="s">
        <v>379</v>
      </c>
      <c r="B5" s="33"/>
    </row>
    <row r="6" customFormat="false" ht="33.75" hidden="false" customHeight="true" outlineLevel="0" collapsed="false">
      <c r="A6" s="33" t="s">
        <v>380</v>
      </c>
      <c r="B6" s="33"/>
    </row>
    <row r="7" customFormat="false" ht="33.75" hidden="false" customHeight="true" outlineLevel="0" collapsed="false">
      <c r="A7" s="33" t="s">
        <v>381</v>
      </c>
      <c r="B7" s="33"/>
    </row>
    <row r="9" customFormat="false" ht="15" hidden="false" customHeight="false" outlineLevel="0" collapsed="false">
      <c r="A9" s="2" t="s">
        <v>382</v>
      </c>
      <c r="B9" s="2"/>
    </row>
    <row r="10" customFormat="false" ht="33.75" hidden="false" customHeight="true" outlineLevel="0" collapsed="false">
      <c r="A10" s="33" t="s">
        <v>383</v>
      </c>
      <c r="B10" s="33"/>
    </row>
    <row r="11" customFormat="false" ht="33.75" hidden="false" customHeight="true" outlineLevel="0" collapsed="false">
      <c r="A11" s="33" t="s">
        <v>384</v>
      </c>
      <c r="B11" s="33"/>
    </row>
    <row r="12" customFormat="false" ht="33.75" hidden="false" customHeight="true" outlineLevel="0" collapsed="false">
      <c r="A12" s="33" t="s">
        <v>385</v>
      </c>
      <c r="B12" s="33"/>
    </row>
    <row r="13" customFormat="false" ht="33.75" hidden="false" customHeight="true" outlineLevel="0" collapsed="false">
      <c r="A13" s="33" t="s">
        <v>386</v>
      </c>
      <c r="B13" s="33"/>
    </row>
    <row r="14" customFormat="false" ht="33.75" hidden="false" customHeight="true" outlineLevel="0" collapsed="false">
      <c r="A14" s="33" t="s">
        <v>387</v>
      </c>
      <c r="B14" s="33"/>
    </row>
    <row r="16" customFormat="false" ht="15" hidden="false" customHeight="false" outlineLevel="0" collapsed="false">
      <c r="A16" s="2" t="s">
        <v>388</v>
      </c>
      <c r="B16" s="2"/>
    </row>
    <row r="17" customFormat="false" ht="33.75" hidden="false" customHeight="true" outlineLevel="0" collapsed="false">
      <c r="A17" s="33" t="s">
        <v>389</v>
      </c>
      <c r="B17" s="33"/>
    </row>
    <row r="18" customFormat="false" ht="33.75" hidden="false" customHeight="true" outlineLevel="0" collapsed="false">
      <c r="A18" s="33" t="s">
        <v>390</v>
      </c>
      <c r="B18" s="33"/>
    </row>
    <row r="19" customFormat="false" ht="33.75" hidden="false" customHeight="true" outlineLevel="0" collapsed="false">
      <c r="A19" s="33" t="s">
        <v>391</v>
      </c>
      <c r="B19" s="33"/>
    </row>
    <row r="21" customFormat="false" ht="15" hidden="false" customHeight="false" outlineLevel="0" collapsed="false">
      <c r="A21" s="2" t="s">
        <v>392</v>
      </c>
      <c r="B21" s="2"/>
    </row>
    <row r="22" customFormat="false" ht="33.75" hidden="false" customHeight="true" outlineLevel="0" collapsed="false">
      <c r="A22" s="33" t="s">
        <v>393</v>
      </c>
      <c r="B22" s="33"/>
    </row>
    <row r="23" customFormat="false" ht="33.75" hidden="false" customHeight="true" outlineLevel="0" collapsed="false">
      <c r="A23" s="33" t="s">
        <v>394</v>
      </c>
      <c r="B23" s="33"/>
    </row>
    <row r="24" customFormat="false" ht="33.75" hidden="false" customHeight="true" outlineLevel="0" collapsed="false">
      <c r="A24" s="33" t="s">
        <v>395</v>
      </c>
      <c r="B24" s="33"/>
    </row>
    <row r="25" customFormat="false" ht="33.75" hidden="false" customHeight="true" outlineLevel="0" collapsed="false">
      <c r="A25" s="33" t="s">
        <v>396</v>
      </c>
      <c r="B25" s="33"/>
    </row>
    <row r="26" customFormat="false" ht="33.75" hidden="false" customHeight="true" outlineLevel="0" collapsed="false">
      <c r="A26" s="33" t="s">
        <v>397</v>
      </c>
      <c r="B26" s="33"/>
    </row>
    <row r="28" customFormat="false" ht="15" hidden="false" customHeight="false" outlineLevel="0" collapsed="false">
      <c r="A28" s="2" t="s">
        <v>398</v>
      </c>
      <c r="B28" s="2"/>
    </row>
    <row r="29" customFormat="false" ht="33.75" hidden="false" customHeight="true" outlineLevel="0" collapsed="false">
      <c r="A29" s="33" t="s">
        <v>399</v>
      </c>
      <c r="B29" s="33"/>
    </row>
    <row r="30" customFormat="false" ht="33.75" hidden="false" customHeight="true" outlineLevel="0" collapsed="false">
      <c r="A30" s="33" t="s">
        <v>400</v>
      </c>
      <c r="B30" s="33"/>
    </row>
    <row r="31" customFormat="false" ht="33.75" hidden="false" customHeight="true" outlineLevel="0" collapsed="false">
      <c r="A31" s="33" t="s">
        <v>401</v>
      </c>
      <c r="B31" s="33"/>
    </row>
    <row r="32" customFormat="false" ht="33.75" hidden="false" customHeight="true" outlineLevel="0" collapsed="false">
      <c r="A32" s="33" t="s">
        <v>402</v>
      </c>
      <c r="B32" s="33"/>
    </row>
    <row r="33" customFormat="false" ht="33.75" hidden="false" customHeight="true" outlineLevel="0" collapsed="false">
      <c r="A33" s="33" t="s">
        <v>403</v>
      </c>
      <c r="B33" s="33"/>
    </row>
    <row r="34" customFormat="false" ht="33.75" hidden="false" customHeight="true" outlineLevel="0" collapsed="false">
      <c r="A34" s="33" t="s">
        <v>404</v>
      </c>
      <c r="B34" s="33"/>
    </row>
    <row r="36" customFormat="false" ht="15" hidden="false" customHeight="false" outlineLevel="0" collapsed="false">
      <c r="A36" s="2" t="s">
        <v>405</v>
      </c>
      <c r="B36" s="2"/>
    </row>
    <row r="37" customFormat="false" ht="33.75" hidden="false" customHeight="true" outlineLevel="0" collapsed="false">
      <c r="A37" s="33" t="s">
        <v>406</v>
      </c>
      <c r="B37" s="33"/>
    </row>
    <row r="38" customFormat="false" ht="33.75" hidden="false" customHeight="true" outlineLevel="0" collapsed="false">
      <c r="A38" s="33" t="s">
        <v>407</v>
      </c>
      <c r="B38" s="33"/>
    </row>
    <row r="39" customFormat="false" ht="33.75" hidden="false" customHeight="true" outlineLevel="0" collapsed="false">
      <c r="A39" s="33" t="s">
        <v>408</v>
      </c>
      <c r="B39" s="33"/>
    </row>
    <row r="40" customFormat="false" ht="33.75" hidden="false" customHeight="true" outlineLevel="0" collapsed="false">
      <c r="A40" s="33" t="s">
        <v>409</v>
      </c>
      <c r="B40" s="33"/>
    </row>
    <row r="41" customFormat="false" ht="33.75" hidden="false" customHeight="true" outlineLevel="0" collapsed="false">
      <c r="A41" s="33" t="s">
        <v>410</v>
      </c>
      <c r="B41" s="33"/>
    </row>
    <row r="42" customFormat="false" ht="33.75" hidden="false" customHeight="true" outlineLevel="0" collapsed="false">
      <c r="A42" s="33" t="s">
        <v>411</v>
      </c>
      <c r="B42" s="33"/>
    </row>
    <row r="44" customFormat="false" ht="15" hidden="false" customHeight="false" outlineLevel="0" collapsed="false">
      <c r="A44" s="2" t="s">
        <v>412</v>
      </c>
      <c r="B44" s="2"/>
    </row>
    <row r="45" customFormat="false" ht="33.75" hidden="false" customHeight="true" outlineLevel="0" collapsed="false">
      <c r="A45" s="33" t="s">
        <v>413</v>
      </c>
      <c r="B45" s="33"/>
    </row>
    <row r="46" customFormat="false" ht="33.75" hidden="false" customHeight="true" outlineLevel="0" collapsed="false">
      <c r="A46" s="33" t="s">
        <v>414</v>
      </c>
      <c r="B46" s="33"/>
    </row>
    <row r="47" customFormat="false" ht="33.75" hidden="false" customHeight="true" outlineLevel="0" collapsed="false">
      <c r="A47" s="33" t="s">
        <v>415</v>
      </c>
      <c r="B47" s="33"/>
    </row>
    <row r="48" customFormat="false" ht="33.75" hidden="false" customHeight="true" outlineLevel="0" collapsed="false">
      <c r="A48" s="33" t="s">
        <v>416</v>
      </c>
      <c r="B48" s="33"/>
    </row>
    <row r="49" customFormat="false" ht="33.75" hidden="false" customHeight="true" outlineLevel="0" collapsed="false">
      <c r="A49" s="33" t="s">
        <v>417</v>
      </c>
      <c r="B49" s="33"/>
    </row>
  </sheetData>
  <mergeCells count="42">
    <mergeCell ref="A1:B1"/>
    <mergeCell ref="A3:B3"/>
    <mergeCell ref="A4:B4"/>
    <mergeCell ref="A5:B5"/>
    <mergeCell ref="A6:B6"/>
    <mergeCell ref="A7:B7"/>
    <mergeCell ref="A9:B9"/>
    <mergeCell ref="A10:B10"/>
    <mergeCell ref="A11:B11"/>
    <mergeCell ref="A12:B12"/>
    <mergeCell ref="A13:B13"/>
    <mergeCell ref="A14:B14"/>
    <mergeCell ref="A16:B16"/>
    <mergeCell ref="A17:B17"/>
    <mergeCell ref="A18:B18"/>
    <mergeCell ref="A19:B19"/>
    <mergeCell ref="A21:B21"/>
    <mergeCell ref="A22:B22"/>
    <mergeCell ref="A23:B23"/>
    <mergeCell ref="A24:B24"/>
    <mergeCell ref="A25:B25"/>
    <mergeCell ref="A26:B26"/>
    <mergeCell ref="A28:B28"/>
    <mergeCell ref="A29:B29"/>
    <mergeCell ref="A30:B30"/>
    <mergeCell ref="A31:B31"/>
    <mergeCell ref="A32:B32"/>
    <mergeCell ref="A33:B33"/>
    <mergeCell ref="A34:B34"/>
    <mergeCell ref="A36:B36"/>
    <mergeCell ref="A37:B37"/>
    <mergeCell ref="A38:B38"/>
    <mergeCell ref="A39:B39"/>
    <mergeCell ref="A40:B40"/>
    <mergeCell ref="A41:B41"/>
    <mergeCell ref="A42:B42"/>
    <mergeCell ref="A44:B44"/>
    <mergeCell ref="A45:B45"/>
    <mergeCell ref="A46:B46"/>
    <mergeCell ref="A47:B47"/>
    <mergeCell ref="A48:B48"/>
    <mergeCell ref="A49:B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2026-07-05T21:25:27Z</dcterms:created>
  <dc:creator>openpyxl</dc:creator>
  <dc:description/>
  <dc:language>en-US</dc:language>
  <cp:lastModifiedBy/>
  <dcterms:modified xsi:type="dcterms:W3CDTF">2026-07-05T21:25:27Z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